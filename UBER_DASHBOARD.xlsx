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1d10dab5d6154bb9/Documents/"/>
    </mc:Choice>
  </mc:AlternateContent>
  <xr:revisionPtr revIDLastSave="3" documentId="8_{29AB773B-AFCD-4E98-AEFB-C381BD21CA2A}" xr6:coauthVersionLast="47" xr6:coauthVersionMax="47" xr10:uidLastSave="{70C82B30-FAD9-4F03-A6B4-8B3A8F57B019}"/>
  <bookViews>
    <workbookView xWindow="-108" yWindow="-108" windowWidth="23256" windowHeight="12456" activeTab="2" xr2:uid="{6E8D716A-CC3D-47EE-B9C5-99AF7377E2B0}"/>
  </bookViews>
  <sheets>
    <sheet name="DATA" sheetId="1" r:id="rId1"/>
    <sheet name="CONTENTS" sheetId="2" r:id="rId2"/>
    <sheet name="DASHBOARD" sheetId="6" r:id="rId3"/>
  </sheets>
  <definedNames>
    <definedName name="Slicer_Cit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5" i="2" l="1"/>
  <c r="B6" i="2"/>
  <c r="B4" i="2"/>
  <c r="B3" i="2"/>
  <c r="B2" i="2"/>
</calcChain>
</file>

<file path=xl/sharedStrings.xml><?xml version="1.0" encoding="utf-8"?>
<sst xmlns="http://schemas.openxmlformats.org/spreadsheetml/2006/main" count="450" uniqueCount="119">
  <si>
    <t>Ride_ID</t>
  </si>
  <si>
    <t>Date</t>
  </si>
  <si>
    <t>City</t>
  </si>
  <si>
    <t>Vehicle_Type</t>
  </si>
  <si>
    <t>Trip_Type</t>
  </si>
  <si>
    <t>Customer_Type</t>
  </si>
  <si>
    <t>Payment_Mode</t>
  </si>
  <si>
    <t>Distance_KM</t>
  </si>
  <si>
    <t>Fare_INR</t>
  </si>
  <si>
    <t>Discount_INR</t>
  </si>
  <si>
    <t>Driver_Rating</t>
  </si>
  <si>
    <t>Customer_Rating</t>
  </si>
  <si>
    <t>Trip_Duration_Min</t>
  </si>
  <si>
    <t>Status</t>
  </si>
  <si>
    <t>UBR001</t>
  </si>
  <si>
    <t>Bengaluru</t>
  </si>
  <si>
    <t>UberGo</t>
  </si>
  <si>
    <t>Regular</t>
  </si>
  <si>
    <t>UPI</t>
  </si>
  <si>
    <t>Completed</t>
  </si>
  <si>
    <t>UBR002</t>
  </si>
  <si>
    <t>Mumbai</t>
  </si>
  <si>
    <t>New</t>
  </si>
  <si>
    <t>Card</t>
  </si>
  <si>
    <t>UBR003</t>
  </si>
  <si>
    <t>Delhi</t>
  </si>
  <si>
    <t>UberXL</t>
  </si>
  <si>
    <t>Airport</t>
  </si>
  <si>
    <t>UBR004</t>
  </si>
  <si>
    <t>Hyderabad</t>
  </si>
  <si>
    <t>Cash</t>
  </si>
  <si>
    <t>UBR005</t>
  </si>
  <si>
    <t>Chennai</t>
  </si>
  <si>
    <t>Premier</t>
  </si>
  <si>
    <t>Premium</t>
  </si>
  <si>
    <t>UBR006</t>
  </si>
  <si>
    <t>Pune</t>
  </si>
  <si>
    <t>UBR007</t>
  </si>
  <si>
    <t>Auto</t>
  </si>
  <si>
    <t>UBR008</t>
  </si>
  <si>
    <t>UBR009</t>
  </si>
  <si>
    <t>UBR010</t>
  </si>
  <si>
    <t>Kochi</t>
  </si>
  <si>
    <t>UBR011</t>
  </si>
  <si>
    <t>UBR012</t>
  </si>
  <si>
    <t>UBR013</t>
  </si>
  <si>
    <t>UBR014</t>
  </si>
  <si>
    <t>UBR015</t>
  </si>
  <si>
    <t>UBR016</t>
  </si>
  <si>
    <t>UBR017</t>
  </si>
  <si>
    <t>Cancelled</t>
  </si>
  <si>
    <t>UBR018</t>
  </si>
  <si>
    <t>UBR019</t>
  </si>
  <si>
    <t>UBR020</t>
  </si>
  <si>
    <t>UBR021</t>
  </si>
  <si>
    <t>UBR022</t>
  </si>
  <si>
    <t>UBR023</t>
  </si>
  <si>
    <t>UBR024</t>
  </si>
  <si>
    <t>UBR025</t>
  </si>
  <si>
    <t>UBR026</t>
  </si>
  <si>
    <t>UBR027</t>
  </si>
  <si>
    <t>UBR028</t>
  </si>
  <si>
    <t>UBR029</t>
  </si>
  <si>
    <t>UBR030</t>
  </si>
  <si>
    <t>UBR031</t>
  </si>
  <si>
    <t>UBR032</t>
  </si>
  <si>
    <t>UBR033</t>
  </si>
  <si>
    <t>UBR034</t>
  </si>
  <si>
    <t>UBR035</t>
  </si>
  <si>
    <t>UBR036</t>
  </si>
  <si>
    <t>UBR037</t>
  </si>
  <si>
    <t>UBR038</t>
  </si>
  <si>
    <t>UBR039</t>
  </si>
  <si>
    <t>UBR040</t>
  </si>
  <si>
    <t>UBR041</t>
  </si>
  <si>
    <t>UBR042</t>
  </si>
  <si>
    <t>UBR043</t>
  </si>
  <si>
    <t>UBR044</t>
  </si>
  <si>
    <t>UBR045</t>
  </si>
  <si>
    <t>UBR046</t>
  </si>
  <si>
    <t>UBR047</t>
  </si>
  <si>
    <t>UBR048</t>
  </si>
  <si>
    <t>UBR049</t>
  </si>
  <si>
    <t>UBR050</t>
  </si>
  <si>
    <t>KPI</t>
  </si>
  <si>
    <t>Calculation</t>
  </si>
  <si>
    <t>Total Rides</t>
  </si>
  <si>
    <t>Count of Ride_ID</t>
  </si>
  <si>
    <t>Completed Rides</t>
  </si>
  <si>
    <t>Total Revenue</t>
  </si>
  <si>
    <t>Sum of Fare_INR</t>
  </si>
  <si>
    <t>Average Fare</t>
  </si>
  <si>
    <t>Average Customer Rating</t>
  </si>
  <si>
    <t>Chart</t>
  </si>
  <si>
    <t>Fields</t>
  </si>
  <si>
    <t>Revenue by City</t>
  </si>
  <si>
    <t>City + Fare</t>
  </si>
  <si>
    <t>Rides by Vehicle Type</t>
  </si>
  <si>
    <t>Vehicle_Type + Count of Ride_ID</t>
  </si>
  <si>
    <t>Daily Revenue Trend</t>
  </si>
  <si>
    <t>Date + Fare</t>
  </si>
  <si>
    <t>Payment Mode Distribution</t>
  </si>
  <si>
    <t>Payment_Mode + Count of Ride_ID</t>
  </si>
  <si>
    <t>Revenue by Trip Type</t>
  </si>
  <si>
    <t>Trip_Type + Fare</t>
  </si>
  <si>
    <t>Customer Type Distribution</t>
  </si>
  <si>
    <t>Customer_Type + Count of Ride_ID</t>
  </si>
  <si>
    <t>Average Rating by Vehicle</t>
  </si>
  <si>
    <t>Vehicle_Type + Customer_Rating</t>
  </si>
  <si>
    <t>Completed vs Cancelled</t>
  </si>
  <si>
    <t>Status + Count of Ride_ID</t>
  </si>
  <si>
    <t>Recommended Slicers</t>
  </si>
  <si>
    <t>Vehicle Type</t>
  </si>
  <si>
    <t>Trip Type</t>
  </si>
  <si>
    <t>Customer Type</t>
  </si>
  <si>
    <t>Payment Mode</t>
  </si>
  <si>
    <t>Row Labels</t>
  </si>
  <si>
    <t>Grand Total</t>
  </si>
  <si>
    <t>Sum of Customer_Rating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</si>
</sst>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3.5"/>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5" fontId="0" fillId="0" borderId="0" xfId="0" applyNumberFormat="1" applyAlignment="1">
      <alignment vertical="center" wrapText="1"/>
    </xf>
    <xf numFmtId="0" fontId="2" fillId="2" borderId="1" xfId="0" applyFont="1" applyFill="1" applyBorder="1" applyAlignment="1">
      <alignment vertical="center"/>
    </xf>
    <xf numFmtId="0" fontId="0" fillId="2" borderId="1" xfId="0" applyFill="1" applyBorder="1" applyAlignment="1">
      <alignment horizontal="left" vertical="center" indent="1"/>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0" fillId="2" borderId="1" xfId="0" applyFill="1" applyBorder="1" applyAlignment="1">
      <alignment vertical="center" wrapText="1"/>
    </xf>
    <xf numFmtId="0" fontId="0" fillId="0" borderId="0" xfId="0" pivotButton="1"/>
    <xf numFmtId="0" fontId="0" fillId="0" borderId="0" xfId="0" applyAlignment="1">
      <alignment horizontal="left"/>
    </xf>
    <xf numFmtId="15" fontId="0" fillId="0" borderId="0" xfId="0" applyNumberFormat="1" applyAlignment="1">
      <alignment horizontal="left"/>
    </xf>
  </cellXfs>
  <cellStyles count="1">
    <cellStyle name="Normal" xfId="0" builtinId="0"/>
  </cellStyles>
  <dxfs count="16">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s>
  <tableStyles count="0" defaultTableStyle="TableStyleMedium2" defaultPivotStyle="PivotStyleLight16"/>
  <colors>
    <mruColors>
      <color rgb="FF59DBED"/>
      <color rgb="FF000000"/>
      <color rgb="FF000066"/>
      <color rgb="FF000E2A"/>
      <color rgb="FF002164"/>
      <color rgb="FFD46F14"/>
      <color rgb="FF3A1216"/>
      <color rgb="FFAE3C7D"/>
      <color rgb="FF084A64"/>
      <color rgb="FF1095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[UBER_DASHBOARD.xlsx]CONTENTS!PivotTable12</c:name>
    <c:fmtId val="0"/>
  </c:pivotSource>
  <c:chart>
    <c:title>
      <c:tx>
        <c:rich>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r>
              <a:rPr lang="en-IN"/>
              <a:t>Revenue by City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US"/>
        </a:p>
      </c:txPr>
    </c:title>
    <c:autoTitleDeleted val="0"/>
    <c:pivotFmts>
      <c:pivotFmt>
        <c:idx val="0"/>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sp3d/>
        </c:spPr>
      </c:pivotFmt>
      <c:pivotFmt>
        <c:idx val="2"/>
        <c:spPr>
          <a:solidFill>
            <a:schemeClr val="accent2">
              <a:lumMod val="75000"/>
            </a:schemeClr>
          </a:solidFill>
          <a:ln>
            <a:noFill/>
          </a:ln>
          <a:effectLst/>
          <a:sp3d/>
        </c:spPr>
      </c:pivotFmt>
      <c:pivotFmt>
        <c:idx val="3"/>
        <c:spPr>
          <a:solidFill>
            <a:schemeClr val="accent2">
              <a:lumMod val="75000"/>
            </a:schemeClr>
          </a:solidFill>
          <a:ln>
            <a:noFill/>
          </a:ln>
          <a:effectLst/>
          <a:sp3d/>
        </c:spPr>
      </c:pivotFmt>
      <c:pivotFmt>
        <c:idx val="4"/>
        <c:spPr>
          <a:solidFill>
            <a:schemeClr val="accent2">
              <a:lumMod val="75000"/>
            </a:schemeClr>
          </a:solidFill>
          <a:ln>
            <a:noFill/>
          </a:ln>
          <a:effectLst/>
          <a:sp3d/>
        </c:spPr>
      </c:pivotFmt>
      <c:pivotFmt>
        <c:idx val="5"/>
        <c:spPr>
          <a:solidFill>
            <a:schemeClr val="accent2">
              <a:lumMod val="75000"/>
            </a:schemeClr>
          </a:solidFill>
          <a:ln>
            <a:noFill/>
          </a:ln>
          <a:effectLst/>
          <a:sp3d/>
        </c:spPr>
      </c:pivotFmt>
      <c:pivotFmt>
        <c:idx val="6"/>
        <c:spPr>
          <a:solidFill>
            <a:schemeClr val="accent2">
              <a:lumMod val="75000"/>
            </a:schemeClr>
          </a:solidFill>
          <a:ln>
            <a:noFill/>
          </a:ln>
          <a:effectLst/>
          <a:sp3d/>
        </c:spPr>
      </c:pivotFmt>
      <c:pivotFmt>
        <c:idx val="7"/>
        <c:spPr>
          <a:solidFill>
            <a:schemeClr val="accent2">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1"/>
        <c:ser>
          <c:idx val="0"/>
          <c:order val="0"/>
          <c:tx>
            <c:strRef>
              <c:f>CONTENTS!$D$2</c:f>
              <c:strCache>
                <c:ptCount val="1"/>
                <c:pt idx="0">
                  <c:v>Total</c:v>
                </c:pt>
              </c:strCache>
            </c:strRef>
          </c:tx>
          <c:spPr>
            <a:solidFill>
              <a:schemeClr val="accent2">
                <a:lumMod val="75000"/>
              </a:schemeClr>
            </a:solidFill>
          </c:spPr>
          <c:invertIfNegative val="0"/>
          <c:dPt>
            <c:idx val="0"/>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1-2641-4360-BE99-328F55E029BA}"/>
              </c:ext>
            </c:extLst>
          </c:dPt>
          <c:dPt>
            <c:idx val="1"/>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3-2641-4360-BE99-328F55E029BA}"/>
              </c:ext>
            </c:extLst>
          </c:dPt>
          <c:dPt>
            <c:idx val="2"/>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5-2641-4360-BE99-328F55E029BA}"/>
              </c:ext>
            </c:extLst>
          </c:dPt>
          <c:dPt>
            <c:idx val="3"/>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7-2641-4360-BE99-328F55E029BA}"/>
              </c:ext>
            </c:extLst>
          </c:dPt>
          <c:dPt>
            <c:idx val="4"/>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9-2641-4360-BE99-328F55E029BA}"/>
              </c:ext>
            </c:extLst>
          </c:dPt>
          <c:dPt>
            <c:idx val="5"/>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B-2641-4360-BE99-328F55E029BA}"/>
              </c:ext>
            </c:extLst>
          </c:dPt>
          <c:dPt>
            <c:idx val="6"/>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D-2641-4360-BE99-328F55E029BA}"/>
              </c:ext>
            </c:extLst>
          </c:dPt>
          <c:cat>
            <c:strRef>
              <c:f>CONTENTS!$C$3:$C$10</c:f>
              <c:strCache>
                <c:ptCount val="7"/>
                <c:pt idx="0">
                  <c:v>Bengaluru</c:v>
                </c:pt>
                <c:pt idx="1">
                  <c:v>Chennai</c:v>
                </c:pt>
                <c:pt idx="2">
                  <c:v>Delhi</c:v>
                </c:pt>
                <c:pt idx="3">
                  <c:v>Hyderabad</c:v>
                </c:pt>
                <c:pt idx="4">
                  <c:v>Kochi</c:v>
                </c:pt>
                <c:pt idx="5">
                  <c:v>Mumbai</c:v>
                </c:pt>
                <c:pt idx="6">
                  <c:v>Pune</c:v>
                </c:pt>
              </c:strCache>
            </c:strRef>
          </c:cat>
          <c:val>
            <c:numRef>
              <c:f>CONTENTS!$D$3:$D$10</c:f>
              <c:numCache>
                <c:formatCode>General</c:formatCode>
                <c:ptCount val="7"/>
                <c:pt idx="0">
                  <c:v>2425</c:v>
                </c:pt>
                <c:pt idx="1">
                  <c:v>2980</c:v>
                </c:pt>
                <c:pt idx="2">
                  <c:v>2895</c:v>
                </c:pt>
                <c:pt idx="3">
                  <c:v>2122</c:v>
                </c:pt>
                <c:pt idx="4">
                  <c:v>1865</c:v>
                </c:pt>
                <c:pt idx="5">
                  <c:v>3525</c:v>
                </c:pt>
                <c:pt idx="6">
                  <c:v>2230</c:v>
                </c:pt>
              </c:numCache>
            </c:numRef>
          </c:val>
          <c:extLst>
            <c:ext xmlns:c16="http://schemas.microsoft.com/office/drawing/2014/chart" uri="{C3380CC4-5D6E-409C-BE32-E72D297353CC}">
              <c16:uniqueId val="{00000000-AD4C-41AA-B2F4-B9222E720A4F}"/>
            </c:ext>
          </c:extLst>
        </c:ser>
        <c:dLbls>
          <c:showLegendKey val="0"/>
          <c:showVal val="0"/>
          <c:showCatName val="0"/>
          <c:showSerName val="0"/>
          <c:showPercent val="0"/>
          <c:showBubbleSize val="0"/>
        </c:dLbls>
        <c:gapWidth val="150"/>
        <c:gapDepth val="0"/>
        <c:shape val="box"/>
        <c:axId val="531859343"/>
        <c:axId val="509568208"/>
        <c:axId val="0"/>
      </c:bar3DChart>
      <c:catAx>
        <c:axId val="531859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9568208"/>
        <c:crosses val="autoZero"/>
        <c:auto val="1"/>
        <c:lblAlgn val="ctr"/>
        <c:lblOffset val="100"/>
        <c:noMultiLvlLbl val="0"/>
      </c:catAx>
      <c:valAx>
        <c:axId val="509568208"/>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185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[UBER_DASHBOARD.xlsx]CONTENTS!PivotTable12</c:name>
    <c:fmtId val="1"/>
  </c:pivotSource>
  <c:chart>
    <c:title>
      <c:tx>
        <c:rich>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r>
              <a:rPr lang="en-US"/>
              <a:t>Rides by Vehicle Type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US"/>
        </a:p>
      </c:txPr>
    </c:title>
    <c:autoTitleDeleted val="0"/>
    <c:pivotFmts>
      <c:pivotFmt>
        <c:idx val="0"/>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pivotFmt>
      <c:pivotFmt>
        <c:idx val="2"/>
        <c:spPr>
          <a:solidFill>
            <a:schemeClr val="accent6">
              <a:lumMod val="75000"/>
            </a:schemeClr>
          </a:solidFill>
          <a:ln>
            <a:noFill/>
          </a:ln>
          <a:effectLst/>
          <a:sp3d/>
        </c:spPr>
      </c:pivotFmt>
      <c:pivotFmt>
        <c:idx val="3"/>
        <c:spPr>
          <a:solidFill>
            <a:schemeClr val="accent6">
              <a:lumMod val="75000"/>
            </a:schemeClr>
          </a:solidFill>
          <a:ln>
            <a:noFill/>
          </a:ln>
          <a:effectLst/>
          <a:sp3d/>
        </c:spPr>
      </c:pivotFmt>
      <c:pivotFmt>
        <c:idx val="4"/>
        <c:spPr>
          <a:solidFill>
            <a:schemeClr val="accent6">
              <a:lumMod val="75000"/>
            </a:schemeClr>
          </a:solidFill>
          <a:ln>
            <a:noFill/>
          </a:ln>
          <a:effectLst/>
          <a:sp3d/>
        </c:spPr>
      </c:pivotFmt>
      <c:pivotFmt>
        <c:idx val="5"/>
        <c:spPr>
          <a:solidFill>
            <a:schemeClr val="accent6">
              <a:lumMod val="75000"/>
            </a:schemeClr>
          </a:solidFill>
          <a:ln>
            <a:noFill/>
          </a:ln>
          <a:effectLst/>
          <a:sp3d/>
        </c:spPr>
      </c:pivotFmt>
      <c:pivotFmt>
        <c:idx val="6"/>
        <c:spPr>
          <a:solidFill>
            <a:schemeClr val="accent6">
              <a:lumMod val="75000"/>
            </a:schemeClr>
          </a:solidFill>
          <a:ln>
            <a:noFill/>
          </a:ln>
          <a:effectLst/>
          <a:sp3d/>
        </c:spPr>
      </c:pivotFmt>
      <c:pivotFmt>
        <c:idx val="7"/>
        <c:spPr>
          <a:solidFill>
            <a:schemeClr val="accent6">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CONTENTS!$D$2</c:f>
              <c:strCache>
                <c:ptCount val="1"/>
                <c:pt idx="0">
                  <c:v>Total</c:v>
                </c:pt>
              </c:strCache>
            </c:strRef>
          </c:tx>
          <c:spPr>
            <a:solidFill>
              <a:schemeClr val="accent6">
                <a:lumMod val="75000"/>
              </a:schemeClr>
            </a:solidFill>
          </c:spPr>
          <c:invertIfNegative val="0"/>
          <c:dPt>
            <c:idx val="0"/>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1-4290-48BC-9F3B-275D587F1943}"/>
              </c:ext>
            </c:extLst>
          </c:dPt>
          <c:dPt>
            <c:idx val="1"/>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4290-48BC-9F3B-275D587F1943}"/>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5-4290-48BC-9F3B-275D587F1943}"/>
              </c:ext>
            </c:extLst>
          </c:dPt>
          <c:dPt>
            <c:idx val="3"/>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7-4290-48BC-9F3B-275D587F1943}"/>
              </c:ext>
            </c:extLst>
          </c:dPt>
          <c:dPt>
            <c:idx val="4"/>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9-4290-48BC-9F3B-275D587F1943}"/>
              </c:ext>
            </c:extLst>
          </c:dPt>
          <c:dPt>
            <c:idx val="5"/>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B-4290-48BC-9F3B-275D587F1943}"/>
              </c:ext>
            </c:extLst>
          </c:dPt>
          <c:dPt>
            <c:idx val="6"/>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D-4290-48BC-9F3B-275D587F1943}"/>
              </c:ext>
            </c:extLst>
          </c:dPt>
          <c:cat>
            <c:strRef>
              <c:f>CONTENTS!$C$3:$C$10</c:f>
              <c:strCache>
                <c:ptCount val="7"/>
                <c:pt idx="0">
                  <c:v>Bengaluru</c:v>
                </c:pt>
                <c:pt idx="1">
                  <c:v>Chennai</c:v>
                </c:pt>
                <c:pt idx="2">
                  <c:v>Delhi</c:v>
                </c:pt>
                <c:pt idx="3">
                  <c:v>Hyderabad</c:v>
                </c:pt>
                <c:pt idx="4">
                  <c:v>Kochi</c:v>
                </c:pt>
                <c:pt idx="5">
                  <c:v>Mumbai</c:v>
                </c:pt>
                <c:pt idx="6">
                  <c:v>Pune</c:v>
                </c:pt>
              </c:strCache>
            </c:strRef>
          </c:cat>
          <c:val>
            <c:numRef>
              <c:f>CONTENTS!$D$3:$D$10</c:f>
              <c:numCache>
                <c:formatCode>General</c:formatCode>
                <c:ptCount val="7"/>
                <c:pt idx="0">
                  <c:v>2425</c:v>
                </c:pt>
                <c:pt idx="1">
                  <c:v>2980</c:v>
                </c:pt>
                <c:pt idx="2">
                  <c:v>2895</c:v>
                </c:pt>
                <c:pt idx="3">
                  <c:v>2122</c:v>
                </c:pt>
                <c:pt idx="4">
                  <c:v>1865</c:v>
                </c:pt>
                <c:pt idx="5">
                  <c:v>3525</c:v>
                </c:pt>
                <c:pt idx="6">
                  <c:v>2230</c:v>
                </c:pt>
              </c:numCache>
            </c:numRef>
          </c:val>
          <c:shape val="pyramid"/>
          <c:extLst>
            <c:ext xmlns:c16="http://schemas.microsoft.com/office/drawing/2014/chart" uri="{C3380CC4-5D6E-409C-BE32-E72D297353CC}">
              <c16:uniqueId val="{00000000-B31F-41A8-ADA2-781DC9843E61}"/>
            </c:ext>
          </c:extLst>
        </c:ser>
        <c:dLbls>
          <c:showLegendKey val="0"/>
          <c:showVal val="0"/>
          <c:showCatName val="0"/>
          <c:showSerName val="0"/>
          <c:showPercent val="0"/>
          <c:showBubbleSize val="0"/>
        </c:dLbls>
        <c:gapWidth val="150"/>
        <c:gapDepth val="0"/>
        <c:shape val="box"/>
        <c:axId val="531862127"/>
        <c:axId val="509555728"/>
        <c:axId val="0"/>
      </c:bar3DChart>
      <c:catAx>
        <c:axId val="531862127"/>
        <c:scaling>
          <c:orientation val="minMax"/>
        </c:scaling>
        <c:delete val="0"/>
        <c:axPos val="b"/>
        <c:numFmt formatCode="General" sourceLinked="1"/>
        <c:majorTickMark val="none"/>
        <c:minorTickMark val="none"/>
        <c:tickLblPos val="nextTo"/>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9555728"/>
        <c:crosses val="autoZero"/>
        <c:auto val="1"/>
        <c:lblAlgn val="ctr"/>
        <c:lblOffset val="100"/>
        <c:noMultiLvlLbl val="0"/>
      </c:catAx>
      <c:valAx>
        <c:axId val="50955572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186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[UBER_DASHBOARD.xlsx]CONTENTS!PivotTable14</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ln w="28575" cap="rnd">
            <a:solidFill>
              <a:srgbClr val="AE3C7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CONTENTS!$D$19</c:f>
              <c:strCache>
                <c:ptCount val="1"/>
                <c:pt idx="0">
                  <c:v>Total</c:v>
                </c:pt>
              </c:strCache>
            </c:strRef>
          </c:tx>
          <c:spPr>
            <a:ln w="28575" cap="rnd">
              <a:solidFill>
                <a:srgbClr val="AE3C7D"/>
              </a:solidFill>
              <a:round/>
            </a:ln>
            <a:effectLst/>
          </c:spPr>
          <c:marker>
            <c:symbol val="none"/>
          </c:marker>
          <c:cat>
            <c:strRef>
              <c:f>CONTENTS!$C$20:$C$29</c:f>
              <c:strCache>
                <c:ptCount val="9"/>
                <c:pt idx="0">
                  <c:v>01-Aug-26</c:v>
                </c:pt>
                <c:pt idx="1">
                  <c:v>02-Aug-26</c:v>
                </c:pt>
                <c:pt idx="2">
                  <c:v>03-Aug-26</c:v>
                </c:pt>
                <c:pt idx="3">
                  <c:v>04-Aug-26</c:v>
                </c:pt>
                <c:pt idx="4">
                  <c:v>05-Aug-26</c:v>
                </c:pt>
                <c:pt idx="5">
                  <c:v>06-Aug-26</c:v>
                </c:pt>
                <c:pt idx="6">
                  <c:v>07-Aug-26</c:v>
                </c:pt>
                <c:pt idx="7">
                  <c:v>08-Aug-26</c:v>
                </c:pt>
                <c:pt idx="8">
                  <c:v>09-Aug-26</c:v>
                </c:pt>
              </c:strCache>
            </c:strRef>
          </c:cat>
          <c:val>
            <c:numRef>
              <c:f>CONTENTS!$D$20:$D$29</c:f>
              <c:numCache>
                <c:formatCode>General</c:formatCode>
                <c:ptCount val="9"/>
                <c:pt idx="0">
                  <c:v>1950</c:v>
                </c:pt>
                <c:pt idx="1">
                  <c:v>2040</c:v>
                </c:pt>
                <c:pt idx="2">
                  <c:v>2215</c:v>
                </c:pt>
                <c:pt idx="3">
                  <c:v>2385</c:v>
                </c:pt>
                <c:pt idx="4">
                  <c:v>1570</c:v>
                </c:pt>
                <c:pt idx="5">
                  <c:v>1965</c:v>
                </c:pt>
                <c:pt idx="6">
                  <c:v>2505</c:v>
                </c:pt>
                <c:pt idx="7">
                  <c:v>2167</c:v>
                </c:pt>
                <c:pt idx="8">
                  <c:v>1245</c:v>
                </c:pt>
              </c:numCache>
            </c:numRef>
          </c:val>
          <c:smooth val="0"/>
          <c:extLst>
            <c:ext xmlns:c16="http://schemas.microsoft.com/office/drawing/2014/chart" uri="{C3380CC4-5D6E-409C-BE32-E72D297353CC}">
              <c16:uniqueId val="{00000000-A4D0-4829-A08B-52524A0D463A}"/>
            </c:ext>
          </c:extLst>
        </c:ser>
        <c:dLbls>
          <c:showLegendKey val="0"/>
          <c:showVal val="0"/>
          <c:showCatName val="0"/>
          <c:showSerName val="0"/>
          <c:showPercent val="0"/>
          <c:showBubbleSize val="0"/>
        </c:dLbls>
        <c:smooth val="0"/>
        <c:axId val="531837999"/>
        <c:axId val="509564368"/>
      </c:lineChart>
      <c:catAx>
        <c:axId val="531837999"/>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crossAx val="509564368"/>
        <c:crosses val="autoZero"/>
        <c:auto val="1"/>
        <c:lblAlgn val="ctr"/>
        <c:lblOffset val="100"/>
        <c:noMultiLvlLbl val="0"/>
      </c:catAx>
      <c:valAx>
        <c:axId val="50956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crossAx val="531837999"/>
        <c:crosses val="autoZero"/>
        <c:crossBetween val="between"/>
      </c:valAx>
      <c:spPr>
        <a:noFill/>
        <a:ln>
          <a:solidFill>
            <a:schemeClr val="bg2"/>
          </a:solid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b="1" cap="none" spc="50">
          <a:ln w="0"/>
          <a:solidFill>
            <a:schemeClr val="bg1"/>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[UBER_DASHBOARD.xlsx]CONTENTS!PivotTable19</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COMPLETED</a:t>
            </a:r>
            <a:r>
              <a:rPr lang="en-US" baseline="0"/>
              <a:t> VS CANCELLED</a:t>
            </a:r>
          </a:p>
        </c:rich>
      </c:tx>
      <c:overlay val="0"/>
      <c:spPr>
        <a:noFill/>
        <a:ln>
          <a:noFill/>
        </a:ln>
        <a:effectLst>
          <a:innerShdw blurRad="63500" dist="50800" dir="16200000">
            <a:prstClr val="black">
              <a:alpha val="50000"/>
            </a:prstClr>
          </a:innerShdw>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w="25400">
            <a:solidFill>
              <a:schemeClr val="lt1"/>
            </a:solidFill>
          </a:ln>
          <a:effectLst/>
          <a:sp3d contourW="25400">
            <a:contourClr>
              <a:schemeClr val="lt1"/>
            </a:contourClr>
          </a:sp3d>
        </c:spPr>
      </c:pivotFmt>
      <c:pivotFmt>
        <c:idx val="2"/>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CONTENTS!$D$55</c:f>
              <c:strCache>
                <c:ptCount val="1"/>
                <c:pt idx="0">
                  <c:v>Total</c:v>
                </c:pt>
              </c:strCache>
            </c:strRef>
          </c:tx>
          <c:dPt>
            <c:idx val="0"/>
            <c:bubble3D val="0"/>
            <c:spPr>
              <a:solidFill>
                <a:schemeClr val="bg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EF0-44C0-AE79-46D2F9AE3B2F}"/>
              </c:ext>
            </c:extLst>
          </c:dPt>
          <c:dPt>
            <c:idx val="1"/>
            <c:bubble3D val="0"/>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solidFill>
                  <a:schemeClr val="lt1"/>
                </a:solidFill>
              </a:ln>
              <a:effectLst/>
              <a:sp3d contourW="25400">
                <a:contourClr>
                  <a:schemeClr val="lt1"/>
                </a:contourClr>
              </a:sp3d>
            </c:spPr>
            <c:extLst>
              <c:ext xmlns:c16="http://schemas.microsoft.com/office/drawing/2014/chart" uri="{C3380CC4-5D6E-409C-BE32-E72D297353CC}">
                <c16:uniqueId val="{00000003-AEF0-44C0-AE79-46D2F9AE3B2F}"/>
              </c:ext>
            </c:extLst>
          </c:dPt>
          <c:cat>
            <c:strRef>
              <c:f>CONTENTS!$C$56:$C$58</c:f>
              <c:strCache>
                <c:ptCount val="2"/>
                <c:pt idx="0">
                  <c:v>Cancelled</c:v>
                </c:pt>
                <c:pt idx="1">
                  <c:v>Completed</c:v>
                </c:pt>
              </c:strCache>
            </c:strRef>
          </c:cat>
          <c:val>
            <c:numRef>
              <c:f>CONTENTS!$D$56:$D$58</c:f>
              <c:numCache>
                <c:formatCode>General</c:formatCode>
                <c:ptCount val="2"/>
                <c:pt idx="0">
                  <c:v>3</c:v>
                </c:pt>
                <c:pt idx="1">
                  <c:v>47</c:v>
                </c:pt>
              </c:numCache>
            </c:numRef>
          </c:val>
          <c:extLst>
            <c:ext xmlns:c16="http://schemas.microsoft.com/office/drawing/2014/chart" uri="{C3380CC4-5D6E-409C-BE32-E72D297353CC}">
              <c16:uniqueId val="{00000000-DB60-421E-B368-8DCB789060C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[UBER_DASHBOARD.xlsx]CONTENTS!PivotTable1</c:name>
    <c:fmtId val="2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gradFill>
            <a:gsLst>
              <a:gs pos="100000">
                <a:schemeClr val="bg1">
                  <a:lumMod val="65000"/>
                </a:schemeClr>
              </a:gs>
              <a:gs pos="50000">
                <a:schemeClr val="accent2">
                  <a:lumMod val="75000"/>
                </a:schemeClr>
              </a:gs>
              <a:gs pos="100000">
                <a:schemeClr val="accent2">
                  <a:lumMod val="75000"/>
                </a:schemeClr>
              </a:gs>
            </a:gsLst>
            <a:lin ang="9000000" scaled="0"/>
          </a:gra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CONTENTS!$Q$3</c:f>
              <c:strCache>
                <c:ptCount val="1"/>
                <c:pt idx="0">
                  <c:v>Total</c:v>
                </c:pt>
              </c:strCache>
            </c:strRef>
          </c:tx>
          <c:spPr>
            <a:gradFill>
              <a:gsLst>
                <a:gs pos="100000">
                  <a:schemeClr val="bg1">
                    <a:lumMod val="65000"/>
                  </a:schemeClr>
                </a:gs>
                <a:gs pos="50000">
                  <a:schemeClr val="accent2">
                    <a:lumMod val="75000"/>
                  </a:schemeClr>
                </a:gs>
                <a:gs pos="100000">
                  <a:schemeClr val="accent2">
                    <a:lumMod val="75000"/>
                  </a:schemeClr>
                </a:gs>
              </a:gsLst>
              <a:lin ang="9000000" scaled="0"/>
            </a:gra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CONTENTS!$P$4:$P$5</c:f>
              <c:strCache>
                <c:ptCount val="1"/>
                <c:pt idx="0">
                  <c:v>Hyderabad</c:v>
                </c:pt>
              </c:strCache>
            </c:strRef>
          </c:cat>
          <c:val>
            <c:numRef>
              <c:f>CONTENTS!$Q$4:$Q$5</c:f>
              <c:numCache>
                <c:formatCode>General</c:formatCode>
                <c:ptCount val="1"/>
                <c:pt idx="0">
                  <c:v>2122</c:v>
                </c:pt>
              </c:numCache>
            </c:numRef>
          </c:val>
          <c:extLst>
            <c:ext xmlns:c16="http://schemas.microsoft.com/office/drawing/2014/chart" uri="{C3380CC4-5D6E-409C-BE32-E72D297353CC}">
              <c16:uniqueId val="{00000000-4B8B-4620-8DF2-952DC0328E68}"/>
            </c:ext>
          </c:extLst>
        </c:ser>
        <c:dLbls>
          <c:dLblPos val="inEnd"/>
          <c:showLegendKey val="0"/>
          <c:showVal val="1"/>
          <c:showCatName val="0"/>
          <c:showSerName val="0"/>
          <c:showPercent val="0"/>
          <c:showBubbleSize val="0"/>
        </c:dLbls>
        <c:gapWidth val="65"/>
        <c:axId val="1635381935"/>
        <c:axId val="911556815"/>
      </c:barChart>
      <c:catAx>
        <c:axId val="16353819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911556815"/>
        <c:crosses val="autoZero"/>
        <c:auto val="1"/>
        <c:lblAlgn val="ctr"/>
        <c:lblOffset val="100"/>
        <c:noMultiLvlLbl val="0"/>
      </c:catAx>
      <c:valAx>
        <c:axId val="91155681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53819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dk1">
          <a:lumMod val="25000"/>
          <a:lumOff val="7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[UBER_DASHBOARD.xlsx]CONTENTS!PivotTable16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bg1"/>
                </a:solidFill>
                <a:latin typeface="Arial Black" panose="020B0A04020102020204" pitchFamily="34" charset="0"/>
              </a:rPr>
              <a:t>REVENUE BY TRIP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9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724759405074367"/>
          <c:y val="0.31934966462525516"/>
          <c:w val="0.75083092738407697"/>
          <c:h val="0.4866790609507145"/>
        </c:manualLayout>
      </c:layout>
      <c:bar3DChart>
        <c:barDir val="col"/>
        <c:grouping val="stacked"/>
        <c:varyColors val="0"/>
        <c:ser>
          <c:idx val="0"/>
          <c:order val="0"/>
          <c:tx>
            <c:strRef>
              <c:f>CONTENTS!$D$38</c:f>
              <c:strCache>
                <c:ptCount val="1"/>
                <c:pt idx="0">
                  <c:v>Total</c:v>
                </c:pt>
              </c:strCache>
            </c:strRef>
          </c:tx>
          <c:spPr>
            <a:solidFill>
              <a:schemeClr val="bg1">
                <a:lumMod val="95000"/>
              </a:schemeClr>
            </a:solidFill>
            <a:ln>
              <a:noFill/>
            </a:ln>
            <a:effectLst/>
            <a:sp3d/>
          </c:spPr>
          <c:invertIfNegative val="0"/>
          <c:cat>
            <c:strRef>
              <c:f>CONTENTS!$C$39:$C$41</c:f>
              <c:strCache>
                <c:ptCount val="2"/>
                <c:pt idx="0">
                  <c:v>Airport</c:v>
                </c:pt>
                <c:pt idx="1">
                  <c:v>City</c:v>
                </c:pt>
              </c:strCache>
            </c:strRef>
          </c:cat>
          <c:val>
            <c:numRef>
              <c:f>CONTENTS!$D$39:$D$41</c:f>
              <c:numCache>
                <c:formatCode>General</c:formatCode>
                <c:ptCount val="2"/>
                <c:pt idx="0">
                  <c:v>8400</c:v>
                </c:pt>
                <c:pt idx="1">
                  <c:v>9642</c:v>
                </c:pt>
              </c:numCache>
            </c:numRef>
          </c:val>
          <c:extLst>
            <c:ext xmlns:c16="http://schemas.microsoft.com/office/drawing/2014/chart" uri="{C3380CC4-5D6E-409C-BE32-E72D297353CC}">
              <c16:uniqueId val="{00000000-742A-470A-B1EE-3F8646563C91}"/>
            </c:ext>
          </c:extLst>
        </c:ser>
        <c:dLbls>
          <c:showLegendKey val="0"/>
          <c:showVal val="0"/>
          <c:showCatName val="0"/>
          <c:showSerName val="0"/>
          <c:showPercent val="0"/>
          <c:showBubbleSize val="0"/>
        </c:dLbls>
        <c:gapWidth val="150"/>
        <c:shape val="box"/>
        <c:axId val="873879088"/>
        <c:axId val="993859408"/>
        <c:axId val="0"/>
      </c:bar3DChart>
      <c:catAx>
        <c:axId val="873879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3859408"/>
        <c:crosses val="autoZero"/>
        <c:auto val="1"/>
        <c:lblAlgn val="ctr"/>
        <c:lblOffset val="100"/>
        <c:noMultiLvlLbl val="0"/>
      </c:catAx>
      <c:valAx>
        <c:axId val="99385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387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6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[UBER_DASHBOARD.xlsx]CONTENTS!PivotTable18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bg1"/>
                </a:solidFill>
                <a:latin typeface="Arial Black" panose="020B0A04020102020204" pitchFamily="34" charset="0"/>
              </a:rPr>
              <a:t>AVERAGE RATING BY CUSTOMER</a:t>
            </a:r>
          </a:p>
        </c:rich>
      </c:tx>
      <c:layout>
        <c:manualLayout>
          <c:xMode val="edge"/>
          <c:yMode val="edge"/>
          <c:x val="0.131097112860892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solidFill>
          <a:ln w="19050">
            <a:solidFill>
              <a:schemeClr val="lt1"/>
            </a:solidFill>
          </a:ln>
          <a:effectLst/>
        </c:spPr>
      </c:pivotFmt>
      <c:pivotFmt>
        <c:idx val="2"/>
        <c:spPr>
          <a:solidFill>
            <a:srgbClr val="000E2A"/>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CONTENTS!$D$49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1A-47DB-A230-510E894FC6C1}"/>
              </c:ext>
            </c:extLst>
          </c:dPt>
          <c:dPt>
            <c:idx val="1"/>
            <c:bubble3D val="0"/>
            <c:spPr>
              <a:solidFill>
                <a:srgbClr val="000E2A"/>
              </a:solidFill>
              <a:ln w="19050">
                <a:solidFill>
                  <a:schemeClr val="lt1"/>
                </a:solidFill>
              </a:ln>
              <a:effectLst/>
            </c:spPr>
            <c:extLst>
              <c:ext xmlns:c16="http://schemas.microsoft.com/office/drawing/2014/chart" uri="{C3380CC4-5D6E-409C-BE32-E72D297353CC}">
                <c16:uniqueId val="{00000003-E23E-40F8-A158-2B3FE2FEAEC5}"/>
              </c:ext>
            </c:extLst>
          </c:dPt>
          <c:dPt>
            <c:idx val="2"/>
            <c:bubble3D val="0"/>
            <c:spPr>
              <a:solidFill>
                <a:schemeClr val="bg2"/>
              </a:solidFill>
              <a:ln w="19050">
                <a:solidFill>
                  <a:schemeClr val="lt1"/>
                </a:solidFill>
              </a:ln>
              <a:effectLst/>
            </c:spPr>
            <c:extLst>
              <c:ext xmlns:c16="http://schemas.microsoft.com/office/drawing/2014/chart" uri="{C3380CC4-5D6E-409C-BE32-E72D297353CC}">
                <c16:uniqueId val="{00000002-E23E-40F8-A158-2B3FE2FEAE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1A-47DB-A230-510E894FC6C1}"/>
              </c:ext>
            </c:extLst>
          </c:dPt>
          <c:cat>
            <c:strRef>
              <c:f>CONTENTS!$C$50:$C$54</c:f>
              <c:strCache>
                <c:ptCount val="4"/>
                <c:pt idx="0">
                  <c:v>Auto</c:v>
                </c:pt>
                <c:pt idx="1">
                  <c:v>Premier</c:v>
                </c:pt>
                <c:pt idx="2">
                  <c:v>UberGo</c:v>
                </c:pt>
                <c:pt idx="3">
                  <c:v>UberXL</c:v>
                </c:pt>
              </c:strCache>
            </c:strRef>
          </c:cat>
          <c:val>
            <c:numRef>
              <c:f>CONTENTS!$D$50:$D$54</c:f>
              <c:numCache>
                <c:formatCode>General</c:formatCode>
                <c:ptCount val="4"/>
                <c:pt idx="0">
                  <c:v>38.5</c:v>
                </c:pt>
                <c:pt idx="1">
                  <c:v>38.799999999999997</c:v>
                </c:pt>
                <c:pt idx="2">
                  <c:v>112.89999999999999</c:v>
                </c:pt>
                <c:pt idx="3">
                  <c:v>38</c:v>
                </c:pt>
              </c:numCache>
            </c:numRef>
          </c:val>
          <c:extLst>
            <c:ext xmlns:c16="http://schemas.microsoft.com/office/drawing/2014/chart" uri="{C3380CC4-5D6E-409C-BE32-E72D297353CC}">
              <c16:uniqueId val="{00000000-E23E-40F8-A158-2B3FE2FEAEC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solidFill>
            <a:schemeClr val="bg1">
              <a:lumMod val="95000"/>
            </a:schemeClr>
          </a:solid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6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[UBER_DASHBOARD.xlsx]CONTENTS!PivotTable12</c:name>
    <c:fmtId val="28"/>
  </c:pivotSource>
  <c:chart>
    <c:title>
      <c:tx>
        <c:rich>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r>
              <a:rPr lang="en-IN" sz="2800"/>
              <a:t>Revenue by City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US"/>
        </a:p>
      </c:txPr>
    </c:title>
    <c:autoTitleDeleted val="0"/>
    <c:pivotFmts>
      <c:pivotFmt>
        <c:idx val="0"/>
        <c:spPr>
          <a:solidFill>
            <a:schemeClr val="accent2">
              <a:lumMod val="75000"/>
            </a:schemeClr>
          </a:solidFill>
          <a:ln>
            <a:noFill/>
          </a:ln>
          <a:effectLst/>
          <a:sp3d/>
        </c:spPr>
        <c:marker>
          <c:symbol val="circle"/>
          <c:size val="6"/>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pivotFmt>
      <c:pivotFmt>
        <c:idx val="3"/>
        <c:spPr>
          <a:solidFill>
            <a:schemeClr val="accent2">
              <a:lumMod val="75000"/>
            </a:schemeClr>
          </a:solidFill>
          <a:ln>
            <a:noFill/>
          </a:ln>
          <a:effectLst/>
          <a:sp3d/>
        </c:spPr>
      </c:pivotFmt>
      <c:pivotFmt>
        <c:idx val="4"/>
        <c:spPr>
          <a:solidFill>
            <a:schemeClr val="accent2">
              <a:lumMod val="75000"/>
            </a:schemeClr>
          </a:solidFill>
          <a:ln>
            <a:noFill/>
          </a:ln>
          <a:effectLst/>
          <a:sp3d/>
        </c:spPr>
      </c:pivotFmt>
      <c:pivotFmt>
        <c:idx val="5"/>
        <c:spPr>
          <a:solidFill>
            <a:schemeClr val="accent2">
              <a:lumMod val="75000"/>
            </a:schemeClr>
          </a:solidFill>
          <a:ln>
            <a:noFill/>
          </a:ln>
          <a:effectLst/>
          <a:sp3d/>
        </c:spPr>
      </c:pivotFmt>
      <c:pivotFmt>
        <c:idx val="6"/>
        <c:spPr>
          <a:solidFill>
            <a:schemeClr val="accent2">
              <a:lumMod val="75000"/>
            </a:schemeClr>
          </a:solidFill>
          <a:ln>
            <a:noFill/>
          </a:ln>
          <a:effectLst/>
          <a:sp3d/>
        </c:spPr>
      </c:pivotFmt>
      <c:pivotFmt>
        <c:idx val="7"/>
        <c:spPr>
          <a:solidFill>
            <a:schemeClr val="accent2">
              <a:lumMod val="75000"/>
            </a:schemeClr>
          </a:solidFill>
          <a:ln>
            <a:noFill/>
          </a:ln>
          <a:effectLst/>
          <a:sp3d/>
        </c:spPr>
      </c:pivotFmt>
      <c:pivotFmt>
        <c:idx val="8"/>
        <c:spPr>
          <a:solidFill>
            <a:schemeClr val="accent2">
              <a:lumMod val="75000"/>
            </a:schemeClr>
          </a:solidFill>
          <a:ln>
            <a:noFill/>
          </a:ln>
          <a:effectLst/>
          <a:sp3d/>
        </c:spPr>
      </c:pivotFmt>
      <c:pivotFmt>
        <c:idx val="9"/>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a:sp3d/>
        </c:spPr>
      </c:pivotFmt>
      <c:pivotFmt>
        <c:idx val="11"/>
        <c:spPr>
          <a:solidFill>
            <a:schemeClr val="accent2">
              <a:lumMod val="75000"/>
            </a:schemeClr>
          </a:solidFill>
          <a:ln>
            <a:noFill/>
          </a:ln>
          <a:effectLst/>
          <a:sp3d/>
        </c:spPr>
      </c:pivotFmt>
      <c:pivotFmt>
        <c:idx val="12"/>
        <c:spPr>
          <a:solidFill>
            <a:schemeClr val="accent2">
              <a:lumMod val="75000"/>
            </a:schemeClr>
          </a:solidFill>
          <a:ln>
            <a:noFill/>
          </a:ln>
          <a:effectLst/>
          <a:sp3d/>
        </c:spPr>
      </c:pivotFmt>
      <c:pivotFmt>
        <c:idx val="13"/>
        <c:spPr>
          <a:solidFill>
            <a:schemeClr val="accent2">
              <a:lumMod val="75000"/>
            </a:schemeClr>
          </a:solidFill>
          <a:ln>
            <a:noFill/>
          </a:ln>
          <a:effectLst/>
          <a:sp3d/>
        </c:spPr>
      </c:pivotFmt>
      <c:pivotFmt>
        <c:idx val="14"/>
        <c:spPr>
          <a:solidFill>
            <a:schemeClr val="accent2">
              <a:lumMod val="75000"/>
            </a:schemeClr>
          </a:solidFill>
          <a:ln>
            <a:noFill/>
          </a:ln>
          <a:effectLst/>
          <a:sp3d/>
        </c:spPr>
      </c:pivotFmt>
      <c:pivotFmt>
        <c:idx val="15"/>
        <c:spPr>
          <a:solidFill>
            <a:schemeClr val="accent2">
              <a:lumMod val="75000"/>
            </a:schemeClr>
          </a:solidFill>
          <a:ln>
            <a:noFill/>
          </a:ln>
          <a:effectLst/>
          <a:sp3d/>
        </c:spPr>
      </c:pivotFmt>
      <c:pivotFmt>
        <c:idx val="16"/>
        <c:spPr>
          <a:solidFill>
            <a:schemeClr val="accent2">
              <a:lumMod val="75000"/>
            </a:schemeClr>
          </a:solidFill>
          <a:ln>
            <a:noFill/>
          </a:ln>
          <a:effectLst/>
          <a:sp3d/>
        </c:spPr>
      </c:pivotFmt>
      <c:pivotFmt>
        <c:idx val="17"/>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lumMod val="75000"/>
            </a:schemeClr>
          </a:solidFill>
          <a:ln>
            <a:noFill/>
          </a:ln>
          <a:effectLst/>
          <a:sp3d/>
        </c:spPr>
      </c:pivotFmt>
      <c:pivotFmt>
        <c:idx val="19"/>
        <c:spPr>
          <a:solidFill>
            <a:schemeClr val="accent2">
              <a:lumMod val="75000"/>
            </a:schemeClr>
          </a:solidFill>
          <a:ln>
            <a:noFill/>
          </a:ln>
          <a:effectLst/>
          <a:sp3d/>
        </c:spPr>
      </c:pivotFmt>
      <c:pivotFmt>
        <c:idx val="20"/>
        <c:spPr>
          <a:solidFill>
            <a:schemeClr val="accent2">
              <a:lumMod val="75000"/>
            </a:schemeClr>
          </a:solidFill>
          <a:ln>
            <a:noFill/>
          </a:ln>
          <a:effectLst/>
          <a:sp3d/>
        </c:spPr>
      </c:pivotFmt>
      <c:pivotFmt>
        <c:idx val="21"/>
        <c:spPr>
          <a:solidFill>
            <a:schemeClr val="accent2">
              <a:lumMod val="75000"/>
            </a:schemeClr>
          </a:solidFill>
          <a:ln>
            <a:noFill/>
          </a:ln>
          <a:effectLst/>
          <a:sp3d/>
        </c:spPr>
      </c:pivotFmt>
      <c:pivotFmt>
        <c:idx val="22"/>
        <c:spPr>
          <a:solidFill>
            <a:schemeClr val="accent2">
              <a:lumMod val="75000"/>
            </a:schemeClr>
          </a:solidFill>
          <a:ln>
            <a:noFill/>
          </a:ln>
          <a:effectLst/>
          <a:sp3d/>
        </c:spPr>
      </c:pivotFmt>
      <c:pivotFmt>
        <c:idx val="23"/>
        <c:spPr>
          <a:solidFill>
            <a:schemeClr val="accent2">
              <a:lumMod val="75000"/>
            </a:schemeClr>
          </a:solidFill>
          <a:ln>
            <a:noFill/>
          </a:ln>
          <a:effectLst/>
          <a:sp3d/>
        </c:spPr>
      </c:pivotFmt>
      <c:pivotFmt>
        <c:idx val="24"/>
        <c:spPr>
          <a:solidFill>
            <a:schemeClr val="accent2">
              <a:lumMod val="75000"/>
            </a:schemeClr>
          </a:solidFill>
          <a:ln>
            <a:noFill/>
          </a:ln>
          <a:effectLst/>
          <a:sp3d/>
        </c:spPr>
      </c:pivotFmt>
      <c:pivotFmt>
        <c:idx val="25"/>
        <c:spPr>
          <a:gradFill flip="none" rotWithShape="1">
            <a:gsLst>
              <a:gs pos="0">
                <a:schemeClr val="tx1"/>
              </a:gs>
              <a:gs pos="43000">
                <a:schemeClr val="bg1"/>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flip="none" rotWithShape="1">
            <a:gsLst>
              <a:gs pos="0">
                <a:schemeClr val="tx1"/>
              </a:gs>
              <a:gs pos="43000">
                <a:schemeClr val="bg1"/>
              </a:gs>
            </a:gsLst>
            <a:lin ang="5400000" scaled="1"/>
          </a:gradFill>
          <a:ln>
            <a:noFill/>
          </a:ln>
          <a:effectLst/>
          <a:sp3d/>
        </c:spPr>
      </c:pivotFmt>
      <c:pivotFmt>
        <c:idx val="27"/>
        <c:spPr>
          <a:gradFill flip="none" rotWithShape="1">
            <a:gsLst>
              <a:gs pos="0">
                <a:schemeClr val="tx1"/>
              </a:gs>
              <a:gs pos="43000">
                <a:schemeClr val="bg1"/>
              </a:gs>
            </a:gsLst>
            <a:lin ang="5400000" scaled="1"/>
          </a:gradFill>
          <a:ln>
            <a:noFill/>
          </a:ln>
          <a:effectLst/>
          <a:sp3d/>
        </c:spPr>
      </c:pivotFmt>
      <c:pivotFmt>
        <c:idx val="28"/>
        <c:spPr>
          <a:gradFill flip="none" rotWithShape="1">
            <a:gsLst>
              <a:gs pos="0">
                <a:schemeClr val="tx1"/>
              </a:gs>
              <a:gs pos="43000">
                <a:schemeClr val="bg1"/>
              </a:gs>
            </a:gsLst>
            <a:lin ang="5400000" scaled="1"/>
          </a:gradFill>
          <a:ln>
            <a:noFill/>
          </a:ln>
          <a:effectLst/>
          <a:sp3d/>
        </c:spPr>
      </c:pivotFmt>
      <c:pivotFmt>
        <c:idx val="29"/>
        <c:spPr>
          <a:gradFill flip="none" rotWithShape="1">
            <a:gsLst>
              <a:gs pos="0">
                <a:schemeClr val="tx1"/>
              </a:gs>
              <a:gs pos="43000">
                <a:schemeClr val="bg1"/>
              </a:gs>
            </a:gsLst>
            <a:lin ang="5400000" scaled="1"/>
          </a:gradFill>
          <a:ln>
            <a:noFill/>
          </a:ln>
          <a:effectLst/>
          <a:sp3d/>
        </c:spPr>
      </c:pivotFmt>
      <c:pivotFmt>
        <c:idx val="30"/>
        <c:spPr>
          <a:gradFill flip="none" rotWithShape="1">
            <a:gsLst>
              <a:gs pos="0">
                <a:schemeClr val="tx1"/>
              </a:gs>
              <a:gs pos="43000">
                <a:schemeClr val="bg1"/>
              </a:gs>
            </a:gsLst>
            <a:lin ang="5400000" scaled="1"/>
          </a:gradFill>
          <a:ln>
            <a:noFill/>
          </a:ln>
          <a:effectLst/>
          <a:sp3d/>
        </c:spPr>
      </c:pivotFmt>
      <c:pivotFmt>
        <c:idx val="31"/>
        <c:spPr>
          <a:gradFill flip="none" rotWithShape="1">
            <a:gsLst>
              <a:gs pos="0">
                <a:schemeClr val="tx1"/>
              </a:gs>
              <a:gs pos="43000">
                <a:schemeClr val="bg1"/>
              </a:gs>
            </a:gsLst>
            <a:lin ang="5400000" scaled="1"/>
          </a:gradFill>
          <a:ln>
            <a:noFill/>
          </a:ln>
          <a:effectLst/>
          <a:sp3d/>
        </c:spPr>
      </c:pivotFmt>
      <c:pivotFmt>
        <c:idx val="32"/>
        <c:spPr>
          <a:gradFill flip="none" rotWithShape="1">
            <a:gsLst>
              <a:gs pos="0">
                <a:schemeClr val="tx1"/>
              </a:gs>
              <a:gs pos="43000">
                <a:schemeClr val="bg1"/>
              </a:gs>
            </a:gsLst>
            <a:lin ang="5400000" scaled="1"/>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1"/>
        <c:ser>
          <c:idx val="0"/>
          <c:order val="0"/>
          <c:tx>
            <c:strRef>
              <c:f>CONTENTS!$D$2</c:f>
              <c:strCache>
                <c:ptCount val="1"/>
                <c:pt idx="0">
                  <c:v>Total</c:v>
                </c:pt>
              </c:strCache>
            </c:strRef>
          </c:tx>
          <c:spPr>
            <a:gradFill>
              <a:gsLst>
                <a:gs pos="0">
                  <a:schemeClr val="tx1"/>
                </a:gs>
                <a:gs pos="43000">
                  <a:schemeClr val="bg1"/>
                </a:gs>
              </a:gsLst>
              <a:lin ang="5400000" scaled="1"/>
            </a:gradFill>
          </c:spPr>
          <c:invertIfNegative val="0"/>
          <c:dPt>
            <c:idx val="0"/>
            <c:invertIfNegative val="0"/>
            <c:bubble3D val="0"/>
            <c:spPr>
              <a:gradFill flip="none" rotWithShape="1">
                <a:gsLst>
                  <a:gs pos="0">
                    <a:schemeClr val="tx1"/>
                  </a:gs>
                  <a:gs pos="43000">
                    <a:schemeClr val="bg1"/>
                  </a:gs>
                </a:gsLst>
                <a:lin ang="5400000" scaled="1"/>
              </a:gradFill>
              <a:ln>
                <a:noFill/>
              </a:ln>
              <a:effectLst/>
              <a:sp3d/>
            </c:spPr>
            <c:extLst>
              <c:ext xmlns:c16="http://schemas.microsoft.com/office/drawing/2014/chart" uri="{C3380CC4-5D6E-409C-BE32-E72D297353CC}">
                <c16:uniqueId val="{00000001-20A8-408E-9E75-10E27AA78164}"/>
              </c:ext>
            </c:extLst>
          </c:dPt>
          <c:dPt>
            <c:idx val="1"/>
            <c:invertIfNegative val="0"/>
            <c:bubble3D val="0"/>
            <c:spPr>
              <a:gradFill flip="none" rotWithShape="1">
                <a:gsLst>
                  <a:gs pos="0">
                    <a:schemeClr val="tx1"/>
                  </a:gs>
                  <a:gs pos="43000">
                    <a:schemeClr val="bg1"/>
                  </a:gs>
                </a:gsLst>
                <a:lin ang="5400000" scaled="1"/>
              </a:gradFill>
              <a:ln>
                <a:noFill/>
              </a:ln>
              <a:effectLst/>
              <a:sp3d/>
            </c:spPr>
            <c:extLst>
              <c:ext xmlns:c16="http://schemas.microsoft.com/office/drawing/2014/chart" uri="{C3380CC4-5D6E-409C-BE32-E72D297353CC}">
                <c16:uniqueId val="{00000003-20A8-408E-9E75-10E27AA78164}"/>
              </c:ext>
            </c:extLst>
          </c:dPt>
          <c:dPt>
            <c:idx val="2"/>
            <c:invertIfNegative val="0"/>
            <c:bubble3D val="0"/>
            <c:spPr>
              <a:gradFill flip="none" rotWithShape="1">
                <a:gsLst>
                  <a:gs pos="0">
                    <a:schemeClr val="tx1"/>
                  </a:gs>
                  <a:gs pos="43000">
                    <a:schemeClr val="bg1"/>
                  </a:gs>
                </a:gsLst>
                <a:lin ang="5400000" scaled="1"/>
              </a:gradFill>
              <a:ln>
                <a:noFill/>
              </a:ln>
              <a:effectLst/>
              <a:sp3d/>
            </c:spPr>
            <c:extLst>
              <c:ext xmlns:c16="http://schemas.microsoft.com/office/drawing/2014/chart" uri="{C3380CC4-5D6E-409C-BE32-E72D297353CC}">
                <c16:uniqueId val="{00000005-20A8-408E-9E75-10E27AA78164}"/>
              </c:ext>
            </c:extLst>
          </c:dPt>
          <c:dPt>
            <c:idx val="3"/>
            <c:invertIfNegative val="0"/>
            <c:bubble3D val="0"/>
            <c:spPr>
              <a:gradFill flip="none" rotWithShape="1">
                <a:gsLst>
                  <a:gs pos="0">
                    <a:schemeClr val="tx1"/>
                  </a:gs>
                  <a:gs pos="43000">
                    <a:schemeClr val="bg1"/>
                  </a:gs>
                </a:gsLst>
                <a:lin ang="5400000" scaled="1"/>
              </a:gradFill>
              <a:ln>
                <a:noFill/>
              </a:ln>
              <a:effectLst/>
              <a:sp3d/>
            </c:spPr>
            <c:extLst>
              <c:ext xmlns:c16="http://schemas.microsoft.com/office/drawing/2014/chart" uri="{C3380CC4-5D6E-409C-BE32-E72D297353CC}">
                <c16:uniqueId val="{00000007-20A8-408E-9E75-10E27AA78164}"/>
              </c:ext>
            </c:extLst>
          </c:dPt>
          <c:dPt>
            <c:idx val="4"/>
            <c:invertIfNegative val="0"/>
            <c:bubble3D val="0"/>
            <c:spPr>
              <a:gradFill flip="none" rotWithShape="1">
                <a:gsLst>
                  <a:gs pos="0">
                    <a:schemeClr val="tx1"/>
                  </a:gs>
                  <a:gs pos="43000">
                    <a:schemeClr val="bg1"/>
                  </a:gs>
                </a:gsLst>
                <a:lin ang="5400000" scaled="1"/>
              </a:gradFill>
              <a:ln>
                <a:noFill/>
              </a:ln>
              <a:effectLst/>
              <a:sp3d/>
            </c:spPr>
            <c:extLst>
              <c:ext xmlns:c16="http://schemas.microsoft.com/office/drawing/2014/chart" uri="{C3380CC4-5D6E-409C-BE32-E72D297353CC}">
                <c16:uniqueId val="{00000009-20A8-408E-9E75-10E27AA78164}"/>
              </c:ext>
            </c:extLst>
          </c:dPt>
          <c:dPt>
            <c:idx val="5"/>
            <c:invertIfNegative val="0"/>
            <c:bubble3D val="0"/>
            <c:spPr>
              <a:gradFill flip="none" rotWithShape="1">
                <a:gsLst>
                  <a:gs pos="0">
                    <a:schemeClr val="tx1"/>
                  </a:gs>
                  <a:gs pos="43000">
                    <a:schemeClr val="bg1"/>
                  </a:gs>
                </a:gsLst>
                <a:lin ang="5400000" scaled="1"/>
              </a:gradFill>
              <a:ln>
                <a:noFill/>
              </a:ln>
              <a:effectLst/>
              <a:sp3d/>
            </c:spPr>
            <c:extLst>
              <c:ext xmlns:c16="http://schemas.microsoft.com/office/drawing/2014/chart" uri="{C3380CC4-5D6E-409C-BE32-E72D297353CC}">
                <c16:uniqueId val="{0000000B-20A8-408E-9E75-10E27AA78164}"/>
              </c:ext>
            </c:extLst>
          </c:dPt>
          <c:dPt>
            <c:idx val="6"/>
            <c:invertIfNegative val="0"/>
            <c:bubble3D val="0"/>
            <c:spPr>
              <a:gradFill flip="none" rotWithShape="1">
                <a:gsLst>
                  <a:gs pos="0">
                    <a:schemeClr val="tx1"/>
                  </a:gs>
                  <a:gs pos="43000">
                    <a:schemeClr val="bg1"/>
                  </a:gs>
                </a:gsLst>
                <a:lin ang="5400000" scaled="1"/>
              </a:gradFill>
              <a:ln>
                <a:noFill/>
              </a:ln>
              <a:effectLst/>
              <a:sp3d/>
            </c:spPr>
            <c:extLst>
              <c:ext xmlns:c16="http://schemas.microsoft.com/office/drawing/2014/chart" uri="{C3380CC4-5D6E-409C-BE32-E72D297353CC}">
                <c16:uniqueId val="{0000000D-20A8-408E-9E75-10E27AA78164}"/>
              </c:ext>
            </c:extLst>
          </c:dPt>
          <c:cat>
            <c:strRef>
              <c:f>CONTENTS!$C$3:$C$10</c:f>
              <c:strCache>
                <c:ptCount val="7"/>
                <c:pt idx="0">
                  <c:v>Bengaluru</c:v>
                </c:pt>
                <c:pt idx="1">
                  <c:v>Chennai</c:v>
                </c:pt>
                <c:pt idx="2">
                  <c:v>Delhi</c:v>
                </c:pt>
                <c:pt idx="3">
                  <c:v>Hyderabad</c:v>
                </c:pt>
                <c:pt idx="4">
                  <c:v>Kochi</c:v>
                </c:pt>
                <c:pt idx="5">
                  <c:v>Mumbai</c:v>
                </c:pt>
                <c:pt idx="6">
                  <c:v>Pune</c:v>
                </c:pt>
              </c:strCache>
            </c:strRef>
          </c:cat>
          <c:val>
            <c:numRef>
              <c:f>CONTENTS!$D$3:$D$10</c:f>
              <c:numCache>
                <c:formatCode>General</c:formatCode>
                <c:ptCount val="7"/>
                <c:pt idx="0">
                  <c:v>2425</c:v>
                </c:pt>
                <c:pt idx="1">
                  <c:v>2980</c:v>
                </c:pt>
                <c:pt idx="2">
                  <c:v>2895</c:v>
                </c:pt>
                <c:pt idx="3">
                  <c:v>2122</c:v>
                </c:pt>
                <c:pt idx="4">
                  <c:v>1865</c:v>
                </c:pt>
                <c:pt idx="5">
                  <c:v>3525</c:v>
                </c:pt>
                <c:pt idx="6">
                  <c:v>2230</c:v>
                </c:pt>
              </c:numCache>
            </c:numRef>
          </c:val>
          <c:extLst>
            <c:ext xmlns:c16="http://schemas.microsoft.com/office/drawing/2014/chart" uri="{C3380CC4-5D6E-409C-BE32-E72D297353CC}">
              <c16:uniqueId val="{0000000E-20A8-408E-9E75-10E27AA78164}"/>
            </c:ext>
          </c:extLst>
        </c:ser>
        <c:dLbls>
          <c:showLegendKey val="0"/>
          <c:showVal val="0"/>
          <c:showCatName val="0"/>
          <c:showSerName val="0"/>
          <c:showPercent val="0"/>
          <c:showBubbleSize val="0"/>
        </c:dLbls>
        <c:gapWidth val="150"/>
        <c:gapDepth val="0"/>
        <c:shape val="box"/>
        <c:axId val="531859343"/>
        <c:axId val="509568208"/>
        <c:axId val="0"/>
      </c:bar3DChart>
      <c:catAx>
        <c:axId val="531859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9568208"/>
        <c:crosses val="autoZero"/>
        <c:auto val="1"/>
        <c:lblAlgn val="ctr"/>
        <c:lblOffset val="100"/>
        <c:noMultiLvlLbl val="0"/>
      </c:catAx>
      <c:valAx>
        <c:axId val="509568208"/>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185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gs>
        <a:gs pos="58000">
          <a:srgbClr val="002164"/>
        </a:gs>
      </a:gsLst>
      <a:lin ang="5400000" scaled="1"/>
    </a:gradFill>
    <a:ln w="9525" cap="flat" cmpd="sng" algn="ctr">
      <a:gradFill>
        <a:gsLst>
          <a:gs pos="0">
            <a:schemeClr val="tx1"/>
          </a:gs>
          <a:gs pos="58000">
            <a:srgbClr val="59DBED"/>
          </a:gs>
        </a:gsLst>
        <a:lin ang="5400000" scaled="1"/>
      </a:gra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[UBER_DASHBOARD.xlsx]CONTENTS!PivotTable12</c:name>
    <c:fmtId val="30"/>
  </c:pivotSource>
  <c:chart>
    <c:title>
      <c:tx>
        <c:rich>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r>
              <a:rPr lang="en-US" sz="2800"/>
              <a:t>Rides by Vehicle Type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US"/>
        </a:p>
      </c:txPr>
    </c:title>
    <c:autoTitleDeleted val="0"/>
    <c:pivotFmts>
      <c:pivotFmt>
        <c:idx val="0"/>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pivotFmt>
      <c:pivotFmt>
        <c:idx val="2"/>
        <c:spPr>
          <a:solidFill>
            <a:schemeClr val="accent6">
              <a:lumMod val="75000"/>
            </a:schemeClr>
          </a:solidFill>
          <a:ln>
            <a:noFill/>
          </a:ln>
          <a:effectLst/>
          <a:sp3d/>
        </c:spPr>
      </c:pivotFmt>
      <c:pivotFmt>
        <c:idx val="3"/>
        <c:spPr>
          <a:solidFill>
            <a:schemeClr val="accent6">
              <a:lumMod val="75000"/>
            </a:schemeClr>
          </a:solidFill>
          <a:ln>
            <a:noFill/>
          </a:ln>
          <a:effectLst/>
          <a:sp3d/>
        </c:spPr>
      </c:pivotFmt>
      <c:pivotFmt>
        <c:idx val="4"/>
        <c:spPr>
          <a:solidFill>
            <a:schemeClr val="accent6">
              <a:lumMod val="75000"/>
            </a:schemeClr>
          </a:solidFill>
          <a:ln>
            <a:noFill/>
          </a:ln>
          <a:effectLst/>
          <a:sp3d/>
        </c:spPr>
      </c:pivotFmt>
      <c:pivotFmt>
        <c:idx val="5"/>
        <c:spPr>
          <a:solidFill>
            <a:schemeClr val="accent6">
              <a:lumMod val="75000"/>
            </a:schemeClr>
          </a:solidFill>
          <a:ln>
            <a:noFill/>
          </a:ln>
          <a:effectLst/>
          <a:sp3d/>
        </c:spPr>
      </c:pivotFmt>
      <c:pivotFmt>
        <c:idx val="6"/>
        <c:spPr>
          <a:solidFill>
            <a:schemeClr val="accent6">
              <a:lumMod val="75000"/>
            </a:schemeClr>
          </a:solidFill>
          <a:ln>
            <a:noFill/>
          </a:ln>
          <a:effectLst/>
          <a:sp3d/>
        </c:spPr>
      </c:pivotFmt>
      <c:pivotFmt>
        <c:idx val="7"/>
        <c:spPr>
          <a:solidFill>
            <a:schemeClr val="accent6">
              <a:lumMod val="75000"/>
            </a:schemeClr>
          </a:solidFill>
          <a:ln>
            <a:noFill/>
          </a:ln>
          <a:effectLst/>
          <a:sp3d/>
        </c:spPr>
      </c:pivotFmt>
      <c:pivotFmt>
        <c:idx val="8"/>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a:sp3d/>
        </c:spPr>
      </c:pivotFmt>
      <c:pivotFmt>
        <c:idx val="10"/>
        <c:spPr>
          <a:solidFill>
            <a:schemeClr val="accent6">
              <a:lumMod val="75000"/>
            </a:schemeClr>
          </a:solidFill>
          <a:ln>
            <a:noFill/>
          </a:ln>
          <a:effectLst/>
          <a:sp3d/>
        </c:spPr>
      </c:pivotFmt>
      <c:pivotFmt>
        <c:idx val="11"/>
        <c:spPr>
          <a:solidFill>
            <a:schemeClr val="accent6">
              <a:lumMod val="75000"/>
            </a:schemeClr>
          </a:solidFill>
          <a:ln>
            <a:noFill/>
          </a:ln>
          <a:effectLst/>
          <a:sp3d/>
        </c:spPr>
      </c:pivotFmt>
      <c:pivotFmt>
        <c:idx val="12"/>
        <c:spPr>
          <a:solidFill>
            <a:schemeClr val="accent6">
              <a:lumMod val="75000"/>
            </a:schemeClr>
          </a:solidFill>
          <a:ln>
            <a:noFill/>
          </a:ln>
          <a:effectLst/>
          <a:sp3d/>
        </c:spPr>
      </c:pivotFmt>
      <c:pivotFmt>
        <c:idx val="13"/>
        <c:spPr>
          <a:solidFill>
            <a:schemeClr val="accent6">
              <a:lumMod val="75000"/>
            </a:schemeClr>
          </a:solidFill>
          <a:ln>
            <a:noFill/>
          </a:ln>
          <a:effectLst/>
          <a:sp3d/>
        </c:spPr>
      </c:pivotFmt>
      <c:pivotFmt>
        <c:idx val="14"/>
        <c:spPr>
          <a:solidFill>
            <a:schemeClr val="accent6">
              <a:lumMod val="75000"/>
            </a:schemeClr>
          </a:solidFill>
          <a:ln>
            <a:noFill/>
          </a:ln>
          <a:effectLst/>
          <a:sp3d/>
        </c:spPr>
      </c:pivotFmt>
      <c:pivotFmt>
        <c:idx val="15"/>
        <c:spPr>
          <a:solidFill>
            <a:schemeClr val="accent6">
              <a:lumMod val="75000"/>
            </a:schemeClr>
          </a:solidFill>
          <a:ln>
            <a:noFill/>
          </a:ln>
          <a:effectLst/>
          <a:sp3d/>
        </c:spPr>
      </c:pivotFmt>
      <c:pivotFmt>
        <c:idx val="16"/>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a:sp3d/>
        </c:spPr>
      </c:pivotFmt>
      <c:pivotFmt>
        <c:idx val="18"/>
        <c:spPr>
          <a:solidFill>
            <a:schemeClr val="accent6">
              <a:lumMod val="75000"/>
            </a:schemeClr>
          </a:solidFill>
          <a:ln>
            <a:noFill/>
          </a:ln>
          <a:effectLst/>
          <a:sp3d/>
        </c:spPr>
      </c:pivotFmt>
      <c:pivotFmt>
        <c:idx val="19"/>
        <c:spPr>
          <a:solidFill>
            <a:schemeClr val="accent6">
              <a:lumMod val="75000"/>
            </a:schemeClr>
          </a:solidFill>
          <a:ln>
            <a:noFill/>
          </a:ln>
          <a:effectLst/>
          <a:sp3d/>
        </c:spPr>
      </c:pivotFmt>
      <c:pivotFmt>
        <c:idx val="20"/>
        <c:spPr>
          <a:solidFill>
            <a:schemeClr val="accent6">
              <a:lumMod val="75000"/>
            </a:schemeClr>
          </a:solidFill>
          <a:ln>
            <a:noFill/>
          </a:ln>
          <a:effectLst/>
          <a:sp3d/>
        </c:spPr>
      </c:pivotFmt>
      <c:pivotFmt>
        <c:idx val="21"/>
        <c:spPr>
          <a:solidFill>
            <a:schemeClr val="accent6">
              <a:lumMod val="75000"/>
            </a:schemeClr>
          </a:solidFill>
          <a:ln>
            <a:noFill/>
          </a:ln>
          <a:effectLst/>
          <a:sp3d/>
        </c:spPr>
      </c:pivotFmt>
      <c:pivotFmt>
        <c:idx val="22"/>
        <c:spPr>
          <a:solidFill>
            <a:schemeClr val="accent6">
              <a:lumMod val="75000"/>
            </a:schemeClr>
          </a:solidFill>
          <a:ln>
            <a:noFill/>
          </a:ln>
          <a:effectLst/>
          <a:sp3d/>
        </c:spPr>
      </c:pivotFmt>
      <c:pivotFmt>
        <c:idx val="23"/>
        <c:spPr>
          <a:solidFill>
            <a:schemeClr val="accent6">
              <a:lumMod val="75000"/>
            </a:schemeClr>
          </a:solidFill>
          <a:ln>
            <a:noFill/>
          </a:ln>
          <a:effectLst/>
          <a:sp3d/>
        </c:spPr>
      </c:pivotFmt>
      <c:pivotFmt>
        <c:idx val="24"/>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a:noFill/>
          </a:ln>
          <a:effectLst/>
          <a:sp3d/>
        </c:spPr>
      </c:pivotFmt>
      <c:pivotFmt>
        <c:idx val="26"/>
        <c:spPr>
          <a:solidFill>
            <a:schemeClr val="accent6">
              <a:lumMod val="75000"/>
            </a:schemeClr>
          </a:solidFill>
          <a:ln>
            <a:noFill/>
          </a:ln>
          <a:effectLst/>
          <a:sp3d/>
        </c:spPr>
      </c:pivotFmt>
      <c:pivotFmt>
        <c:idx val="27"/>
        <c:spPr>
          <a:solidFill>
            <a:schemeClr val="accent6">
              <a:lumMod val="75000"/>
            </a:schemeClr>
          </a:solidFill>
          <a:ln>
            <a:noFill/>
          </a:ln>
          <a:effectLst/>
          <a:sp3d/>
        </c:spPr>
      </c:pivotFmt>
      <c:pivotFmt>
        <c:idx val="28"/>
        <c:spPr>
          <a:solidFill>
            <a:schemeClr val="accent6">
              <a:lumMod val="75000"/>
            </a:schemeClr>
          </a:solidFill>
          <a:ln>
            <a:noFill/>
          </a:ln>
          <a:effectLst/>
          <a:sp3d/>
        </c:spPr>
      </c:pivotFmt>
      <c:pivotFmt>
        <c:idx val="29"/>
        <c:spPr>
          <a:solidFill>
            <a:schemeClr val="accent6">
              <a:lumMod val="75000"/>
            </a:schemeClr>
          </a:solidFill>
          <a:ln>
            <a:noFill/>
          </a:ln>
          <a:effectLst/>
          <a:sp3d/>
        </c:spPr>
      </c:pivotFmt>
      <c:pivotFmt>
        <c:idx val="30"/>
        <c:spPr>
          <a:solidFill>
            <a:schemeClr val="accent6">
              <a:lumMod val="75000"/>
            </a:schemeClr>
          </a:solidFill>
          <a:ln>
            <a:noFill/>
          </a:ln>
          <a:effectLst/>
          <a:sp3d/>
        </c:spPr>
      </c:pivotFmt>
      <c:pivotFmt>
        <c:idx val="31"/>
        <c:spPr>
          <a:solidFill>
            <a:schemeClr val="accent6">
              <a:lumMod val="75000"/>
            </a:schemeClr>
          </a:solidFill>
          <a:ln>
            <a:noFill/>
          </a:ln>
          <a:effectLst/>
          <a:sp3d/>
        </c:spPr>
      </c:pivotFmt>
      <c:pivotFmt>
        <c:idx val="32"/>
        <c:spPr>
          <a:solidFill>
            <a:schemeClr val="bg1">
              <a:lumMod val="9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bg1">
              <a:lumMod val="95000"/>
            </a:schemeClr>
          </a:solidFill>
          <a:ln>
            <a:noFill/>
          </a:ln>
          <a:effectLst/>
          <a:sp3d/>
        </c:spPr>
      </c:pivotFmt>
      <c:pivotFmt>
        <c:idx val="34"/>
        <c:spPr>
          <a:solidFill>
            <a:schemeClr val="bg1">
              <a:lumMod val="95000"/>
            </a:schemeClr>
          </a:solidFill>
          <a:ln>
            <a:noFill/>
          </a:ln>
          <a:effectLst/>
          <a:sp3d/>
        </c:spPr>
      </c:pivotFmt>
      <c:pivotFmt>
        <c:idx val="35"/>
        <c:spPr>
          <a:solidFill>
            <a:schemeClr val="bg1">
              <a:lumMod val="95000"/>
            </a:schemeClr>
          </a:solidFill>
          <a:ln>
            <a:noFill/>
          </a:ln>
          <a:effectLst/>
          <a:sp3d/>
        </c:spPr>
      </c:pivotFmt>
      <c:pivotFmt>
        <c:idx val="36"/>
        <c:spPr>
          <a:solidFill>
            <a:schemeClr val="bg1">
              <a:lumMod val="95000"/>
            </a:schemeClr>
          </a:solidFill>
          <a:ln>
            <a:noFill/>
          </a:ln>
          <a:effectLst/>
          <a:sp3d/>
        </c:spPr>
      </c:pivotFmt>
      <c:pivotFmt>
        <c:idx val="37"/>
        <c:spPr>
          <a:solidFill>
            <a:schemeClr val="bg1">
              <a:lumMod val="95000"/>
            </a:schemeClr>
          </a:solidFill>
          <a:ln>
            <a:noFill/>
          </a:ln>
          <a:effectLst/>
          <a:sp3d/>
        </c:spPr>
      </c:pivotFmt>
      <c:pivotFmt>
        <c:idx val="38"/>
        <c:spPr>
          <a:solidFill>
            <a:schemeClr val="bg1">
              <a:lumMod val="95000"/>
            </a:schemeClr>
          </a:solidFill>
          <a:ln>
            <a:noFill/>
          </a:ln>
          <a:effectLst/>
          <a:sp3d/>
        </c:spPr>
      </c:pivotFmt>
      <c:pivotFmt>
        <c:idx val="39"/>
        <c:spPr>
          <a:solidFill>
            <a:schemeClr val="bg1">
              <a:lumMod val="9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CONTENTS!$D$2</c:f>
              <c:strCache>
                <c:ptCount val="1"/>
                <c:pt idx="0">
                  <c:v>Total</c:v>
                </c:pt>
              </c:strCache>
            </c:strRef>
          </c:tx>
          <c:spPr>
            <a:solidFill>
              <a:schemeClr val="bg1">
                <a:lumMod val="95000"/>
              </a:schemeClr>
            </a:solidFill>
          </c:spPr>
          <c:invertIfNegative val="0"/>
          <c:dPt>
            <c:idx val="0"/>
            <c:invertIfNegative val="0"/>
            <c:bubble3D val="0"/>
            <c:spPr>
              <a:solidFill>
                <a:schemeClr val="bg1">
                  <a:lumMod val="95000"/>
                </a:schemeClr>
              </a:solidFill>
              <a:ln>
                <a:noFill/>
              </a:ln>
              <a:effectLst/>
              <a:sp3d/>
            </c:spPr>
            <c:extLst>
              <c:ext xmlns:c16="http://schemas.microsoft.com/office/drawing/2014/chart" uri="{C3380CC4-5D6E-409C-BE32-E72D297353CC}">
                <c16:uniqueId val="{00000001-90C1-4E2A-88C7-1F2762A35B72}"/>
              </c:ext>
            </c:extLst>
          </c:dPt>
          <c:dPt>
            <c:idx val="1"/>
            <c:invertIfNegative val="0"/>
            <c:bubble3D val="0"/>
            <c:spPr>
              <a:solidFill>
                <a:schemeClr val="bg1">
                  <a:lumMod val="95000"/>
                </a:schemeClr>
              </a:solidFill>
              <a:ln>
                <a:noFill/>
              </a:ln>
              <a:effectLst/>
              <a:sp3d/>
            </c:spPr>
            <c:extLst>
              <c:ext xmlns:c16="http://schemas.microsoft.com/office/drawing/2014/chart" uri="{C3380CC4-5D6E-409C-BE32-E72D297353CC}">
                <c16:uniqueId val="{00000003-90C1-4E2A-88C7-1F2762A35B72}"/>
              </c:ext>
            </c:extLst>
          </c:dPt>
          <c:dPt>
            <c:idx val="2"/>
            <c:invertIfNegative val="0"/>
            <c:bubble3D val="0"/>
            <c:spPr>
              <a:solidFill>
                <a:schemeClr val="bg1">
                  <a:lumMod val="95000"/>
                </a:schemeClr>
              </a:solidFill>
              <a:ln>
                <a:noFill/>
              </a:ln>
              <a:effectLst/>
              <a:sp3d/>
            </c:spPr>
            <c:extLst>
              <c:ext xmlns:c16="http://schemas.microsoft.com/office/drawing/2014/chart" uri="{C3380CC4-5D6E-409C-BE32-E72D297353CC}">
                <c16:uniqueId val="{00000005-90C1-4E2A-88C7-1F2762A35B72}"/>
              </c:ext>
            </c:extLst>
          </c:dPt>
          <c:dPt>
            <c:idx val="3"/>
            <c:invertIfNegative val="0"/>
            <c:bubble3D val="0"/>
            <c:spPr>
              <a:solidFill>
                <a:schemeClr val="bg1">
                  <a:lumMod val="95000"/>
                </a:schemeClr>
              </a:solidFill>
              <a:ln>
                <a:noFill/>
              </a:ln>
              <a:effectLst/>
              <a:sp3d/>
            </c:spPr>
            <c:extLst>
              <c:ext xmlns:c16="http://schemas.microsoft.com/office/drawing/2014/chart" uri="{C3380CC4-5D6E-409C-BE32-E72D297353CC}">
                <c16:uniqueId val="{00000007-90C1-4E2A-88C7-1F2762A35B72}"/>
              </c:ext>
            </c:extLst>
          </c:dPt>
          <c:dPt>
            <c:idx val="4"/>
            <c:invertIfNegative val="0"/>
            <c:bubble3D val="0"/>
            <c:spPr>
              <a:solidFill>
                <a:schemeClr val="bg1">
                  <a:lumMod val="95000"/>
                </a:schemeClr>
              </a:solidFill>
              <a:ln>
                <a:noFill/>
              </a:ln>
              <a:effectLst/>
              <a:sp3d/>
            </c:spPr>
            <c:extLst>
              <c:ext xmlns:c16="http://schemas.microsoft.com/office/drawing/2014/chart" uri="{C3380CC4-5D6E-409C-BE32-E72D297353CC}">
                <c16:uniqueId val="{00000009-90C1-4E2A-88C7-1F2762A35B72}"/>
              </c:ext>
            </c:extLst>
          </c:dPt>
          <c:dPt>
            <c:idx val="5"/>
            <c:invertIfNegative val="0"/>
            <c:bubble3D val="0"/>
            <c:spPr>
              <a:solidFill>
                <a:schemeClr val="bg1">
                  <a:lumMod val="95000"/>
                </a:schemeClr>
              </a:solidFill>
              <a:ln>
                <a:noFill/>
              </a:ln>
              <a:effectLst/>
              <a:sp3d/>
            </c:spPr>
            <c:extLst>
              <c:ext xmlns:c16="http://schemas.microsoft.com/office/drawing/2014/chart" uri="{C3380CC4-5D6E-409C-BE32-E72D297353CC}">
                <c16:uniqueId val="{0000000B-90C1-4E2A-88C7-1F2762A35B72}"/>
              </c:ext>
            </c:extLst>
          </c:dPt>
          <c:dPt>
            <c:idx val="6"/>
            <c:invertIfNegative val="0"/>
            <c:bubble3D val="0"/>
            <c:spPr>
              <a:solidFill>
                <a:schemeClr val="bg1">
                  <a:lumMod val="95000"/>
                </a:schemeClr>
              </a:solidFill>
              <a:ln>
                <a:noFill/>
              </a:ln>
              <a:effectLst/>
              <a:sp3d/>
            </c:spPr>
            <c:extLst>
              <c:ext xmlns:c16="http://schemas.microsoft.com/office/drawing/2014/chart" uri="{C3380CC4-5D6E-409C-BE32-E72D297353CC}">
                <c16:uniqueId val="{0000000D-90C1-4E2A-88C7-1F2762A35B72}"/>
              </c:ext>
            </c:extLst>
          </c:dPt>
          <c:cat>
            <c:strRef>
              <c:f>CONTENTS!$C$3:$C$10</c:f>
              <c:strCache>
                <c:ptCount val="7"/>
                <c:pt idx="0">
                  <c:v>Bengaluru</c:v>
                </c:pt>
                <c:pt idx="1">
                  <c:v>Chennai</c:v>
                </c:pt>
                <c:pt idx="2">
                  <c:v>Delhi</c:v>
                </c:pt>
                <c:pt idx="3">
                  <c:v>Hyderabad</c:v>
                </c:pt>
                <c:pt idx="4">
                  <c:v>Kochi</c:v>
                </c:pt>
                <c:pt idx="5">
                  <c:v>Mumbai</c:v>
                </c:pt>
                <c:pt idx="6">
                  <c:v>Pune</c:v>
                </c:pt>
              </c:strCache>
            </c:strRef>
          </c:cat>
          <c:val>
            <c:numRef>
              <c:f>CONTENTS!$D$3:$D$10</c:f>
              <c:numCache>
                <c:formatCode>General</c:formatCode>
                <c:ptCount val="7"/>
                <c:pt idx="0">
                  <c:v>2425</c:v>
                </c:pt>
                <c:pt idx="1">
                  <c:v>2980</c:v>
                </c:pt>
                <c:pt idx="2">
                  <c:v>2895</c:v>
                </c:pt>
                <c:pt idx="3">
                  <c:v>2122</c:v>
                </c:pt>
                <c:pt idx="4">
                  <c:v>1865</c:v>
                </c:pt>
                <c:pt idx="5">
                  <c:v>3525</c:v>
                </c:pt>
                <c:pt idx="6">
                  <c:v>2230</c:v>
                </c:pt>
              </c:numCache>
            </c:numRef>
          </c:val>
          <c:shape val="pyramid"/>
          <c:extLst>
            <c:ext xmlns:c16="http://schemas.microsoft.com/office/drawing/2014/chart" uri="{C3380CC4-5D6E-409C-BE32-E72D297353CC}">
              <c16:uniqueId val="{0000000E-90C1-4E2A-88C7-1F2762A35B72}"/>
            </c:ext>
          </c:extLst>
        </c:ser>
        <c:dLbls>
          <c:showLegendKey val="0"/>
          <c:showVal val="0"/>
          <c:showCatName val="0"/>
          <c:showSerName val="0"/>
          <c:showPercent val="0"/>
          <c:showBubbleSize val="0"/>
        </c:dLbls>
        <c:gapWidth val="150"/>
        <c:gapDepth val="0"/>
        <c:shape val="box"/>
        <c:axId val="531862127"/>
        <c:axId val="509555728"/>
        <c:axId val="0"/>
      </c:bar3DChart>
      <c:catAx>
        <c:axId val="531862127"/>
        <c:scaling>
          <c:orientation val="minMax"/>
        </c:scaling>
        <c:delete val="0"/>
        <c:axPos val="b"/>
        <c:numFmt formatCode="General" sourceLinked="1"/>
        <c:majorTickMark val="none"/>
        <c:minorTickMark val="none"/>
        <c:tickLblPos val="nextTo"/>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9555728"/>
        <c:crosses val="autoZero"/>
        <c:auto val="1"/>
        <c:lblAlgn val="ctr"/>
        <c:lblOffset val="100"/>
        <c:noMultiLvlLbl val="0"/>
      </c:catAx>
      <c:valAx>
        <c:axId val="50955572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186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gs>
        <a:gs pos="58000">
          <a:srgbClr val="002164"/>
        </a:gs>
      </a:gsLst>
      <a:lin ang="5400000" scaled="1"/>
    </a:gradFill>
    <a:ln w="9525" cap="flat" cmpd="sng" algn="ctr">
      <a:gradFill>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[UBER_DASHBOARD.xlsx]CONTENTS!PivotTable19</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a:latin typeface="Arial Black" panose="020B0A04020102020204" pitchFamily="34" charset="0"/>
              </a:rPr>
              <a:t>COMPLETED</a:t>
            </a:r>
            <a:r>
              <a:rPr lang="en-US" sz="2000" baseline="0">
                <a:latin typeface="Arial Black" panose="020B0A04020102020204" pitchFamily="34" charset="0"/>
              </a:rPr>
              <a:t> VS CANCELLED</a:t>
            </a:r>
          </a:p>
        </c:rich>
      </c:tx>
      <c:overlay val="0"/>
      <c:spPr>
        <a:noFill/>
        <a:ln>
          <a:noFill/>
        </a:ln>
        <a:effectLst>
          <a:innerShdw blurRad="63500" dist="50800" dir="16200000">
            <a:prstClr val="black">
              <a:alpha val="50000"/>
            </a:prstClr>
          </a:innerShdw>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w="25400">
            <a:solidFill>
              <a:schemeClr val="lt1"/>
            </a:solidFill>
          </a:ln>
          <a:effectLst/>
          <a:sp3d contourW="25400">
            <a:contourClr>
              <a:schemeClr val="lt1"/>
            </a:contourClr>
          </a:sp3d>
        </c:spPr>
      </c:pivotFmt>
      <c:pivotFmt>
        <c:idx val="2"/>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w="25400">
            <a:solidFill>
              <a:schemeClr val="lt1"/>
            </a:solidFill>
          </a:ln>
          <a:effectLst/>
          <a:sp3d contourW="25400">
            <a:contourClr>
              <a:schemeClr val="lt1"/>
            </a:contourClr>
          </a:sp3d>
        </c:spPr>
      </c:pivotFmt>
      <c:pivotFmt>
        <c:idx val="5"/>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solidFill>
          <a:ln w="25400">
            <a:solidFill>
              <a:schemeClr val="lt1"/>
            </a:solidFill>
          </a:ln>
          <a:effectLst/>
          <a:sp3d contourW="25400">
            <a:contourClr>
              <a:schemeClr val="lt1"/>
            </a:contourClr>
          </a:sp3d>
        </c:spPr>
      </c:pivotFmt>
      <c:pivotFmt>
        <c:idx val="8"/>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solidFill>
          <a:ln w="25400">
            <a:solidFill>
              <a:schemeClr val="lt1"/>
            </a:solidFill>
          </a:ln>
          <a:effectLst/>
          <a:sp3d contourW="25400">
            <a:contourClr>
              <a:schemeClr val="lt1"/>
            </a:contourClr>
          </a:sp3d>
        </c:spPr>
      </c:pivotFmt>
      <c:pivotFmt>
        <c:idx val="11"/>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1"/>
          </a:solidFill>
          <a:ln w="25400">
            <a:solidFill>
              <a:schemeClr val="lt1"/>
            </a:solidFill>
          </a:ln>
          <a:effectLst/>
          <a:sp3d contourW="25400">
            <a:contourClr>
              <a:schemeClr val="lt1"/>
            </a:contourClr>
          </a:sp3d>
        </c:spPr>
      </c:pivotFmt>
      <c:pivotFmt>
        <c:idx val="14"/>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CONTENTS!$D$55</c:f>
              <c:strCache>
                <c:ptCount val="1"/>
                <c:pt idx="0">
                  <c:v>Total</c:v>
                </c:pt>
              </c:strCache>
            </c:strRef>
          </c:tx>
          <c:dPt>
            <c:idx val="0"/>
            <c:bubble3D val="0"/>
            <c:spPr>
              <a:solidFill>
                <a:schemeClr val="bg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9B8-4F71-BE72-B6056DABF490}"/>
              </c:ext>
            </c:extLst>
          </c:dPt>
          <c:dPt>
            <c:idx val="1"/>
            <c:bubble3D val="0"/>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solidFill>
                  <a:schemeClr val="lt1"/>
                </a:solidFill>
              </a:ln>
              <a:effectLst/>
              <a:sp3d contourW="25400">
                <a:contourClr>
                  <a:schemeClr val="lt1"/>
                </a:contourClr>
              </a:sp3d>
            </c:spPr>
            <c:extLst>
              <c:ext xmlns:c16="http://schemas.microsoft.com/office/drawing/2014/chart" uri="{C3380CC4-5D6E-409C-BE32-E72D297353CC}">
                <c16:uniqueId val="{00000003-19B8-4F71-BE72-B6056DABF490}"/>
              </c:ext>
            </c:extLst>
          </c:dPt>
          <c:cat>
            <c:strRef>
              <c:f>CONTENTS!$C$56:$C$58</c:f>
              <c:strCache>
                <c:ptCount val="2"/>
                <c:pt idx="0">
                  <c:v>Cancelled</c:v>
                </c:pt>
                <c:pt idx="1">
                  <c:v>Completed</c:v>
                </c:pt>
              </c:strCache>
            </c:strRef>
          </c:cat>
          <c:val>
            <c:numRef>
              <c:f>CONTENTS!$D$56:$D$58</c:f>
              <c:numCache>
                <c:formatCode>General</c:formatCode>
                <c:ptCount val="2"/>
                <c:pt idx="0">
                  <c:v>3</c:v>
                </c:pt>
                <c:pt idx="1">
                  <c:v>47</c:v>
                </c:pt>
              </c:numCache>
            </c:numRef>
          </c:val>
          <c:extLst>
            <c:ext xmlns:c16="http://schemas.microsoft.com/office/drawing/2014/chart" uri="{C3380CC4-5D6E-409C-BE32-E72D297353CC}">
              <c16:uniqueId val="{00000004-19B8-4F71-BE72-B6056DABF49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gs>
        <a:gs pos="58000">
          <a:srgbClr val="002164"/>
        </a:gs>
      </a:gsLst>
      <a:lin ang="5400000" scaled="1"/>
    </a:gradFill>
    <a:ln w="9525" cap="flat" cmpd="sng" algn="ctr">
      <a:gradFill>
        <a:gsLst>
          <a:gs pos="0">
            <a:schemeClr val="tx1"/>
          </a:gs>
          <a:gs pos="74000">
            <a:schemeClr val="accent1">
              <a:lumMod val="45000"/>
              <a:lumOff val="55000"/>
            </a:schemeClr>
          </a:gs>
        </a:gsLst>
        <a:lin ang="5400000" scaled="1"/>
      </a:gra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[UBER_DASHBOARD.xlsx]CONTENTS!PivotTable14</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2800"/>
              <a:t>DAILY REVENUE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manualLayout>
          <c:layoutTarget val="inner"/>
          <c:xMode val="edge"/>
          <c:yMode val="edge"/>
          <c:x val="6.4009152661157073E-2"/>
          <c:y val="0.21298185919767287"/>
          <c:w val="0.85242012934502909"/>
          <c:h val="0.62973588051904106"/>
        </c:manualLayout>
      </c:layout>
      <c:lineChart>
        <c:grouping val="standard"/>
        <c:varyColors val="0"/>
        <c:ser>
          <c:idx val="0"/>
          <c:order val="0"/>
          <c:tx>
            <c:strRef>
              <c:f>CONTENTS!$D$19</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CONTENTS!$C$20:$C$29</c:f>
              <c:strCache>
                <c:ptCount val="9"/>
                <c:pt idx="0">
                  <c:v>01-Aug-26</c:v>
                </c:pt>
                <c:pt idx="1">
                  <c:v>02-Aug-26</c:v>
                </c:pt>
                <c:pt idx="2">
                  <c:v>03-Aug-26</c:v>
                </c:pt>
                <c:pt idx="3">
                  <c:v>04-Aug-26</c:v>
                </c:pt>
                <c:pt idx="4">
                  <c:v>05-Aug-26</c:v>
                </c:pt>
                <c:pt idx="5">
                  <c:v>06-Aug-26</c:v>
                </c:pt>
                <c:pt idx="6">
                  <c:v>07-Aug-26</c:v>
                </c:pt>
                <c:pt idx="7">
                  <c:v>08-Aug-26</c:v>
                </c:pt>
                <c:pt idx="8">
                  <c:v>09-Aug-26</c:v>
                </c:pt>
              </c:strCache>
            </c:strRef>
          </c:cat>
          <c:val>
            <c:numRef>
              <c:f>CONTENTS!$D$20:$D$29</c:f>
              <c:numCache>
                <c:formatCode>General</c:formatCode>
                <c:ptCount val="9"/>
                <c:pt idx="0">
                  <c:v>1950</c:v>
                </c:pt>
                <c:pt idx="1">
                  <c:v>2040</c:v>
                </c:pt>
                <c:pt idx="2">
                  <c:v>2215</c:v>
                </c:pt>
                <c:pt idx="3">
                  <c:v>2385</c:v>
                </c:pt>
                <c:pt idx="4">
                  <c:v>1570</c:v>
                </c:pt>
                <c:pt idx="5">
                  <c:v>1965</c:v>
                </c:pt>
                <c:pt idx="6">
                  <c:v>2505</c:v>
                </c:pt>
                <c:pt idx="7">
                  <c:v>2167</c:v>
                </c:pt>
                <c:pt idx="8">
                  <c:v>1245</c:v>
                </c:pt>
              </c:numCache>
            </c:numRef>
          </c:val>
          <c:smooth val="0"/>
          <c:extLst>
            <c:ext xmlns:c16="http://schemas.microsoft.com/office/drawing/2014/chart" uri="{C3380CC4-5D6E-409C-BE32-E72D297353CC}">
              <c16:uniqueId val="{00000000-03E3-4E78-99B2-74331294352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31837999"/>
        <c:axId val="509564368"/>
      </c:lineChart>
      <c:catAx>
        <c:axId val="53183799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09564368"/>
        <c:crosses val="autoZero"/>
        <c:auto val="1"/>
        <c:lblAlgn val="ctr"/>
        <c:lblOffset val="100"/>
        <c:noMultiLvlLbl val="0"/>
      </c:catAx>
      <c:valAx>
        <c:axId val="509564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3183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gs>
        <a:gs pos="58000">
          <a:srgbClr val="002164"/>
        </a:gs>
      </a:gsLst>
      <a:lin ang="5400000" scaled="1"/>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[UBER_DASHBOARD.xlsx]CONTENTS!PivotTable16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solidFill>
                  <a:schemeClr val="bg1"/>
                </a:solidFill>
                <a:latin typeface="Arial Black" panose="020B0A04020102020204" pitchFamily="34" charset="0"/>
              </a:rPr>
              <a:t>REVENUE BY TRIP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9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9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CONTENTS!$D$38</c:f>
              <c:strCache>
                <c:ptCount val="1"/>
                <c:pt idx="0">
                  <c:v>Total</c:v>
                </c:pt>
              </c:strCache>
            </c:strRef>
          </c:tx>
          <c:spPr>
            <a:solidFill>
              <a:schemeClr val="bg1">
                <a:lumMod val="95000"/>
              </a:schemeClr>
            </a:solidFill>
            <a:ln>
              <a:noFill/>
            </a:ln>
            <a:effectLst/>
            <a:sp3d/>
          </c:spPr>
          <c:invertIfNegative val="0"/>
          <c:cat>
            <c:strRef>
              <c:f>CONTENTS!$C$39:$C$41</c:f>
              <c:strCache>
                <c:ptCount val="2"/>
                <c:pt idx="0">
                  <c:v>Airport</c:v>
                </c:pt>
                <c:pt idx="1">
                  <c:v>City</c:v>
                </c:pt>
              </c:strCache>
            </c:strRef>
          </c:cat>
          <c:val>
            <c:numRef>
              <c:f>CONTENTS!$D$39:$D$41</c:f>
              <c:numCache>
                <c:formatCode>General</c:formatCode>
                <c:ptCount val="2"/>
                <c:pt idx="0">
                  <c:v>8400</c:v>
                </c:pt>
                <c:pt idx="1">
                  <c:v>9642</c:v>
                </c:pt>
              </c:numCache>
            </c:numRef>
          </c:val>
          <c:extLst>
            <c:ext xmlns:c16="http://schemas.microsoft.com/office/drawing/2014/chart" uri="{C3380CC4-5D6E-409C-BE32-E72D297353CC}">
              <c16:uniqueId val="{00000000-6435-4AFB-AC9C-7FAFDA113D5E}"/>
            </c:ext>
          </c:extLst>
        </c:ser>
        <c:dLbls>
          <c:showLegendKey val="0"/>
          <c:showVal val="0"/>
          <c:showCatName val="0"/>
          <c:showSerName val="0"/>
          <c:showPercent val="0"/>
          <c:showBubbleSize val="0"/>
        </c:dLbls>
        <c:gapWidth val="150"/>
        <c:shape val="box"/>
        <c:axId val="873879088"/>
        <c:axId val="993859408"/>
        <c:axId val="0"/>
      </c:bar3DChart>
      <c:catAx>
        <c:axId val="873879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3859408"/>
        <c:crosses val="autoZero"/>
        <c:auto val="1"/>
        <c:lblAlgn val="ctr"/>
        <c:lblOffset val="100"/>
        <c:noMultiLvlLbl val="0"/>
      </c:catAx>
      <c:valAx>
        <c:axId val="99385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387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gs>
        <a:gs pos="49000">
          <a:srgbClr val="000066"/>
        </a:gs>
      </a:gsLst>
      <a:lin ang="5400000" scaled="1"/>
    </a:gradFill>
    <a:ln w="9525" cap="flat" cmpd="sng" algn="ctr">
      <a:gradFill>
        <a:gsLst>
          <a:gs pos="0">
            <a:srgbClr val="000000"/>
          </a:gs>
          <a:gs pos="74000">
            <a:schemeClr val="accent1">
              <a:lumMod val="45000"/>
              <a:lumOff val="55000"/>
            </a:schemeClr>
          </a:gs>
          <a:gs pos="61000">
            <a:srgbClr val="59DBED"/>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[UBER_DASHBOARD.xlsx]CONTENTS!PivotTable18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bg1"/>
                </a:solidFill>
                <a:latin typeface="Arial Black" panose="020B0A04020102020204" pitchFamily="34" charset="0"/>
              </a:rPr>
              <a:t>AVERAGE RATING BY CUSTOMER</a:t>
            </a:r>
          </a:p>
        </c:rich>
      </c:tx>
      <c:layout>
        <c:manualLayout>
          <c:xMode val="edge"/>
          <c:yMode val="edge"/>
          <c:x val="0.131097112860892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solidFill>
          <a:ln w="19050">
            <a:solidFill>
              <a:schemeClr val="lt1"/>
            </a:solidFill>
          </a:ln>
          <a:effectLst/>
        </c:spPr>
      </c:pivotFmt>
      <c:pivotFmt>
        <c:idx val="2"/>
        <c:spPr>
          <a:solidFill>
            <a:srgbClr val="000E2A"/>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rgbClr val="000E2A"/>
          </a:solidFill>
          <a:ln w="19050">
            <a:solidFill>
              <a:schemeClr val="lt1"/>
            </a:solidFill>
          </a:ln>
          <a:effectLst/>
        </c:spPr>
      </c:pivotFmt>
      <c:pivotFmt>
        <c:idx val="6"/>
        <c:spPr>
          <a:solidFill>
            <a:schemeClr val="bg2"/>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rgbClr val="000E2A"/>
          </a:solidFill>
          <a:ln w="19050">
            <a:solidFill>
              <a:schemeClr val="lt1"/>
            </a:solidFill>
          </a:ln>
          <a:effectLst/>
        </c:spPr>
      </c:pivotFmt>
      <c:pivotFmt>
        <c:idx val="11"/>
        <c:spPr>
          <a:solidFill>
            <a:schemeClr val="bg2"/>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CONTENTS!$D$49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93-4FA8-AB26-E9FB11A72A0C}"/>
              </c:ext>
            </c:extLst>
          </c:dPt>
          <c:dPt>
            <c:idx val="1"/>
            <c:bubble3D val="0"/>
            <c:spPr>
              <a:solidFill>
                <a:srgbClr val="000E2A"/>
              </a:solidFill>
              <a:ln w="19050">
                <a:solidFill>
                  <a:schemeClr val="lt1"/>
                </a:solidFill>
              </a:ln>
              <a:effectLst/>
            </c:spPr>
            <c:extLst>
              <c:ext xmlns:c16="http://schemas.microsoft.com/office/drawing/2014/chart" uri="{C3380CC4-5D6E-409C-BE32-E72D297353CC}">
                <c16:uniqueId val="{00000003-6193-4FA8-AB26-E9FB11A72A0C}"/>
              </c:ext>
            </c:extLst>
          </c:dPt>
          <c:dPt>
            <c:idx val="2"/>
            <c:bubble3D val="0"/>
            <c:spPr>
              <a:solidFill>
                <a:schemeClr val="bg2"/>
              </a:solidFill>
              <a:ln w="19050">
                <a:solidFill>
                  <a:schemeClr val="lt1"/>
                </a:solidFill>
              </a:ln>
              <a:effectLst/>
            </c:spPr>
            <c:extLst>
              <c:ext xmlns:c16="http://schemas.microsoft.com/office/drawing/2014/chart" uri="{C3380CC4-5D6E-409C-BE32-E72D297353CC}">
                <c16:uniqueId val="{00000005-6193-4FA8-AB26-E9FB11A72A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93-4FA8-AB26-E9FB11A72A0C}"/>
              </c:ext>
            </c:extLst>
          </c:dPt>
          <c:cat>
            <c:strRef>
              <c:f>CONTENTS!$C$50:$C$54</c:f>
              <c:strCache>
                <c:ptCount val="4"/>
                <c:pt idx="0">
                  <c:v>Auto</c:v>
                </c:pt>
                <c:pt idx="1">
                  <c:v>Premier</c:v>
                </c:pt>
                <c:pt idx="2">
                  <c:v>UberGo</c:v>
                </c:pt>
                <c:pt idx="3">
                  <c:v>UberXL</c:v>
                </c:pt>
              </c:strCache>
            </c:strRef>
          </c:cat>
          <c:val>
            <c:numRef>
              <c:f>CONTENTS!$D$50:$D$54</c:f>
              <c:numCache>
                <c:formatCode>General</c:formatCode>
                <c:ptCount val="4"/>
                <c:pt idx="0">
                  <c:v>38.5</c:v>
                </c:pt>
                <c:pt idx="1">
                  <c:v>38.799999999999997</c:v>
                </c:pt>
                <c:pt idx="2">
                  <c:v>112.89999999999999</c:v>
                </c:pt>
                <c:pt idx="3">
                  <c:v>38</c:v>
                </c:pt>
              </c:numCache>
            </c:numRef>
          </c:val>
          <c:extLst>
            <c:ext xmlns:c16="http://schemas.microsoft.com/office/drawing/2014/chart" uri="{C3380CC4-5D6E-409C-BE32-E72D297353CC}">
              <c16:uniqueId val="{00000008-6193-4FA8-AB26-E9FB11A72A0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solidFill>
            <a:schemeClr val="bg1">
              <a:lumMod val="95000"/>
            </a:schemeClr>
          </a:solid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gs>
        <a:gs pos="74000">
          <a:srgbClr val="000066"/>
        </a:gs>
      </a:gsLst>
      <a:lin ang="5400000" scaled="1"/>
    </a:gradFill>
    <a:ln w="9525" cap="flat" cmpd="sng" algn="ctr">
      <a:gradFill>
        <a:gsLst>
          <a:gs pos="0">
            <a:srgbClr val="000000"/>
          </a:gs>
          <a:gs pos="58000">
            <a:srgbClr val="59DBED"/>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4.svg"/><Relationship Id="rId26" Type="http://schemas.openxmlformats.org/officeDocument/2006/relationships/chart" Target="../charts/chart13.xml"/><Relationship Id="rId3" Type="http://schemas.openxmlformats.org/officeDocument/2006/relationships/chart" Target="../charts/chart10.xml"/><Relationship Id="rId21" Type="http://schemas.openxmlformats.org/officeDocument/2006/relationships/image" Target="../media/image17.png"/><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5" Type="http://schemas.openxmlformats.org/officeDocument/2006/relationships/chart" Target="../charts/chart12.xml"/><Relationship Id="rId2" Type="http://schemas.openxmlformats.org/officeDocument/2006/relationships/chart" Target="../charts/chart9.xml"/><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chart" Target="../charts/chart8.xml"/><Relationship Id="rId6" Type="http://schemas.openxmlformats.org/officeDocument/2006/relationships/image" Target="../media/image2.svg"/><Relationship Id="rId11" Type="http://schemas.openxmlformats.org/officeDocument/2006/relationships/image" Target="../media/image7.png"/><Relationship Id="rId24" Type="http://schemas.openxmlformats.org/officeDocument/2006/relationships/image" Target="../media/image20.svg"/><Relationship Id="rId5" Type="http://schemas.openxmlformats.org/officeDocument/2006/relationships/image" Target="../media/image1.png"/><Relationship Id="rId15" Type="http://schemas.openxmlformats.org/officeDocument/2006/relationships/image" Target="../media/image11.png"/><Relationship Id="rId23" Type="http://schemas.openxmlformats.org/officeDocument/2006/relationships/image" Target="../media/image19.png"/><Relationship Id="rId10" Type="http://schemas.openxmlformats.org/officeDocument/2006/relationships/image" Target="../media/image6.svg"/><Relationship Id="rId19" Type="http://schemas.openxmlformats.org/officeDocument/2006/relationships/image" Target="../media/image15.png"/><Relationship Id="rId4" Type="http://schemas.openxmlformats.org/officeDocument/2006/relationships/chart" Target="../charts/chart11.xml"/><Relationship Id="rId9" Type="http://schemas.openxmlformats.org/officeDocument/2006/relationships/image" Target="../media/image5.png"/><Relationship Id="rId14" Type="http://schemas.openxmlformats.org/officeDocument/2006/relationships/image" Target="../media/image10.svg"/><Relationship Id="rId22" Type="http://schemas.openxmlformats.org/officeDocument/2006/relationships/image" Target="../media/image18.svg"/></Relationships>
</file>

<file path=xl/drawings/drawing1.xml><?xml version="1.0" encoding="utf-8"?>
<xdr:wsDr xmlns:xdr="http://schemas.openxmlformats.org/drawingml/2006/spreadsheetDrawing" xmlns:a="http://schemas.openxmlformats.org/drawingml/2006/main">
  <xdr:twoCellAnchor>
    <xdr:from>
      <xdr:col>4</xdr:col>
      <xdr:colOff>342900</xdr:colOff>
      <xdr:row>0</xdr:row>
      <xdr:rowOff>0</xdr:rowOff>
    </xdr:from>
    <xdr:to>
      <xdr:col>12</xdr:col>
      <xdr:colOff>38100</xdr:colOff>
      <xdr:row>5</xdr:row>
      <xdr:rowOff>182880</xdr:rowOff>
    </xdr:to>
    <xdr:graphicFrame macro="">
      <xdr:nvGraphicFramePr>
        <xdr:cNvPr id="2" name="Chart 1">
          <a:extLst>
            <a:ext uri="{FF2B5EF4-FFF2-40B4-BE49-F238E27FC236}">
              <a16:creationId xmlns:a16="http://schemas.microsoft.com/office/drawing/2014/main" id="{FC8B64C7-0326-6D6B-24B1-BC38DAC089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266700</xdr:colOff>
      <xdr:row>5</xdr:row>
      <xdr:rowOff>270510</xdr:rowOff>
    </xdr:from>
    <xdr:to>
      <xdr:col>11</xdr:col>
      <xdr:colOff>571500</xdr:colOff>
      <xdr:row>14</xdr:row>
      <xdr:rowOff>87630</xdr:rowOff>
    </xdr:to>
    <xdr:graphicFrame macro="">
      <xdr:nvGraphicFramePr>
        <xdr:cNvPr id="3" name="Chart 2">
          <a:extLst>
            <a:ext uri="{FF2B5EF4-FFF2-40B4-BE49-F238E27FC236}">
              <a16:creationId xmlns:a16="http://schemas.microsoft.com/office/drawing/2014/main" id="{DF7004C5-1591-6FD4-45A0-BB69D15E4E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289560</xdr:colOff>
      <xdr:row>12</xdr:row>
      <xdr:rowOff>179070</xdr:rowOff>
    </xdr:from>
    <xdr:to>
      <xdr:col>11</xdr:col>
      <xdr:colOff>594360</xdr:colOff>
      <xdr:row>27</xdr:row>
      <xdr:rowOff>133350</xdr:rowOff>
    </xdr:to>
    <xdr:graphicFrame macro="">
      <xdr:nvGraphicFramePr>
        <xdr:cNvPr id="4" name="Chart 3">
          <a:extLst>
            <a:ext uri="{FF2B5EF4-FFF2-40B4-BE49-F238E27FC236}">
              <a16:creationId xmlns:a16="http://schemas.microsoft.com/office/drawing/2014/main" id="{6F26D2F3-5A4D-340A-E040-E23317435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144780</xdr:colOff>
      <xdr:row>54</xdr:row>
      <xdr:rowOff>140970</xdr:rowOff>
    </xdr:from>
    <xdr:to>
      <xdr:col>12</xdr:col>
      <xdr:colOff>449580</xdr:colOff>
      <xdr:row>69</xdr:row>
      <xdr:rowOff>140970</xdr:rowOff>
    </xdr:to>
    <xdr:graphicFrame macro="">
      <xdr:nvGraphicFramePr>
        <xdr:cNvPr id="6" name="Chart 5">
          <a:extLst>
            <a:ext uri="{FF2B5EF4-FFF2-40B4-BE49-F238E27FC236}">
              <a16:creationId xmlns:a16="http://schemas.microsoft.com/office/drawing/2014/main" id="{F64B7347-E697-A028-2E99-DEAA2A272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320040</xdr:colOff>
      <xdr:row>2</xdr:row>
      <xdr:rowOff>201930</xdr:rowOff>
    </xdr:from>
    <xdr:to>
      <xdr:col>19</xdr:col>
      <xdr:colOff>15240</xdr:colOff>
      <xdr:row>8</xdr:row>
      <xdr:rowOff>19050</xdr:rowOff>
    </xdr:to>
    <xdr:graphicFrame macro="">
      <xdr:nvGraphicFramePr>
        <xdr:cNvPr id="7" name="Chart 6">
          <a:extLst>
            <a:ext uri="{FF2B5EF4-FFF2-40B4-BE49-F238E27FC236}">
              <a16:creationId xmlns:a16="http://schemas.microsoft.com/office/drawing/2014/main" id="{55180D3E-B72C-19E7-200D-1E91B7601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289560</xdr:colOff>
      <xdr:row>2</xdr:row>
      <xdr:rowOff>464820</xdr:rowOff>
    </xdr:from>
    <xdr:to>
      <xdr:col>13</xdr:col>
      <xdr:colOff>289560</xdr:colOff>
      <xdr:row>8</xdr:row>
      <xdr:rowOff>120015</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27495AAC-928A-D0AB-72EE-0EF07B92F86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668000" y="11963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358140</xdr:colOff>
      <xdr:row>28</xdr:row>
      <xdr:rowOff>64770</xdr:rowOff>
    </xdr:from>
    <xdr:to>
      <xdr:col>13</xdr:col>
      <xdr:colOff>53340</xdr:colOff>
      <xdr:row>43</xdr:row>
      <xdr:rowOff>64770</xdr:rowOff>
    </xdr:to>
    <xdr:graphicFrame macro="">
      <xdr:nvGraphicFramePr>
        <xdr:cNvPr id="5" name="Chart 4">
          <a:extLst>
            <a:ext uri="{FF2B5EF4-FFF2-40B4-BE49-F238E27FC236}">
              <a16:creationId xmlns:a16="http://schemas.microsoft.com/office/drawing/2014/main" id="{26879934-2FF2-9202-6C7C-1C385913EE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160020</xdr:colOff>
      <xdr:row>41</xdr:row>
      <xdr:rowOff>72390</xdr:rowOff>
    </xdr:from>
    <xdr:to>
      <xdr:col>12</xdr:col>
      <xdr:colOff>464820</xdr:colOff>
      <xdr:row>56</xdr:row>
      <xdr:rowOff>72390</xdr:rowOff>
    </xdr:to>
    <xdr:graphicFrame macro="">
      <xdr:nvGraphicFramePr>
        <xdr:cNvPr id="8" name="Chart 7">
          <a:extLst>
            <a:ext uri="{FF2B5EF4-FFF2-40B4-BE49-F238E27FC236}">
              <a16:creationId xmlns:a16="http://schemas.microsoft.com/office/drawing/2014/main" id="{52D60BC5-F326-C0F0-845F-B2D831129E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45718</xdr:colOff>
      <xdr:row>0</xdr:row>
      <xdr:rowOff>50591</xdr:rowOff>
    </xdr:from>
    <xdr:to>
      <xdr:col>39</xdr:col>
      <xdr:colOff>41189</xdr:colOff>
      <xdr:row>63</xdr:row>
      <xdr:rowOff>164757</xdr:rowOff>
    </xdr:to>
    <xdr:sp macro="" textlink="">
      <xdr:nvSpPr>
        <xdr:cNvPr id="2" name="Rectangle 1">
          <a:extLst>
            <a:ext uri="{FF2B5EF4-FFF2-40B4-BE49-F238E27FC236}">
              <a16:creationId xmlns:a16="http://schemas.microsoft.com/office/drawing/2014/main" id="{94D3CC6A-A5EA-A416-48F7-AF7F2A4331D6}"/>
            </a:ext>
          </a:extLst>
        </xdr:cNvPr>
        <xdr:cNvSpPr/>
      </xdr:nvSpPr>
      <xdr:spPr>
        <a:xfrm>
          <a:off x="45718" y="50591"/>
          <a:ext cx="24091147" cy="11791301"/>
        </a:xfrm>
        <a:prstGeom prst="rect">
          <a:avLst/>
        </a:prstGeom>
        <a:solidFill>
          <a:srgbClr val="000E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587115</xdr:colOff>
      <xdr:row>0</xdr:row>
      <xdr:rowOff>173535</xdr:rowOff>
    </xdr:from>
    <xdr:to>
      <xdr:col>9</xdr:col>
      <xdr:colOff>244772</xdr:colOff>
      <xdr:row>6</xdr:row>
      <xdr:rowOff>49967</xdr:rowOff>
    </xdr:to>
    <xdr:sp macro="" textlink="">
      <xdr:nvSpPr>
        <xdr:cNvPr id="3" name="TextBox 2">
          <a:extLst>
            <a:ext uri="{FF2B5EF4-FFF2-40B4-BE49-F238E27FC236}">
              <a16:creationId xmlns:a16="http://schemas.microsoft.com/office/drawing/2014/main" id="{1AA14F51-4A47-0609-B25F-FE6B6457D98D}"/>
            </a:ext>
          </a:extLst>
        </xdr:cNvPr>
        <xdr:cNvSpPr txBox="1"/>
      </xdr:nvSpPr>
      <xdr:spPr>
        <a:xfrm>
          <a:off x="2423410" y="173535"/>
          <a:ext cx="3330247" cy="1000694"/>
        </a:xfrm>
        <a:prstGeom prst="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solidFill>
                <a:schemeClr val="bg1"/>
              </a:solidFill>
              <a:latin typeface="Arial Black" panose="020B0A04020102020204" pitchFamily="34" charset="0"/>
            </a:rPr>
            <a:t>UBER</a:t>
          </a:r>
        </a:p>
      </xdr:txBody>
    </xdr:sp>
    <xdr:clientData/>
  </xdr:twoCellAnchor>
  <xdr:twoCellAnchor>
    <xdr:from>
      <xdr:col>10</xdr:col>
      <xdr:colOff>130994</xdr:colOff>
      <xdr:row>0</xdr:row>
      <xdr:rowOff>127956</xdr:rowOff>
    </xdr:from>
    <xdr:to>
      <xdr:col>36</xdr:col>
      <xdr:colOff>48617</xdr:colOff>
      <xdr:row>6</xdr:row>
      <xdr:rowOff>24983</xdr:rowOff>
    </xdr:to>
    <xdr:sp macro="" textlink="">
      <xdr:nvSpPr>
        <xdr:cNvPr id="5" name="TextBox 4">
          <a:extLst>
            <a:ext uri="{FF2B5EF4-FFF2-40B4-BE49-F238E27FC236}">
              <a16:creationId xmlns:a16="http://schemas.microsoft.com/office/drawing/2014/main" id="{53B8068A-816E-77DD-3A09-12DBF5BC97E4}"/>
            </a:ext>
          </a:extLst>
        </xdr:cNvPr>
        <xdr:cNvSpPr txBox="1"/>
      </xdr:nvSpPr>
      <xdr:spPr>
        <a:xfrm>
          <a:off x="6251978" y="127956"/>
          <a:ext cx="15832180" cy="1021289"/>
        </a:xfrm>
        <a:prstGeom prst="rect">
          <a:avLst/>
        </a:prstGeom>
        <a:gradFill>
          <a:gsLst>
            <a:gs pos="0">
              <a:schemeClr val="tx1"/>
            </a:gs>
            <a:gs pos="58000">
              <a:schemeClr val="tx2">
                <a:lumMod val="90000"/>
                <a:lumOff val="1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lgn="l"/>
          <a:r>
            <a:rPr lang="en-IN" sz="2800">
              <a:solidFill>
                <a:schemeClr val="bg1"/>
              </a:solidFill>
              <a:latin typeface="Arial Black" panose="020B0A04020102020204" pitchFamily="34" charset="0"/>
            </a:rPr>
            <a:t>RIDE &amp;</a:t>
          </a:r>
          <a:r>
            <a:rPr lang="en-IN" sz="2800" baseline="0">
              <a:solidFill>
                <a:schemeClr val="bg1"/>
              </a:solidFill>
              <a:latin typeface="Arial Black" panose="020B0A04020102020204" pitchFamily="34" charset="0"/>
            </a:rPr>
            <a:t> REVENUE PERFORMENCE</a:t>
          </a:r>
          <a:endParaRPr lang="en-IN" sz="2800">
            <a:solidFill>
              <a:schemeClr val="bg1"/>
            </a:solidFill>
            <a:latin typeface="Arial Black" panose="020B0A04020102020204" pitchFamily="34" charset="0"/>
          </a:endParaRPr>
        </a:p>
      </xdr:txBody>
    </xdr:sp>
    <xdr:clientData/>
  </xdr:twoCellAnchor>
  <xdr:twoCellAnchor>
    <xdr:from>
      <xdr:col>1</xdr:col>
      <xdr:colOff>549640</xdr:colOff>
      <xdr:row>7</xdr:row>
      <xdr:rowOff>13079</xdr:rowOff>
    </xdr:from>
    <xdr:to>
      <xdr:col>9</xdr:col>
      <xdr:colOff>57425</xdr:colOff>
      <xdr:row>16</xdr:row>
      <xdr:rowOff>118077</xdr:rowOff>
    </xdr:to>
    <xdr:sp macro="" textlink="">
      <xdr:nvSpPr>
        <xdr:cNvPr id="6" name="Rectangle: Rounded Corners 5">
          <a:extLst>
            <a:ext uri="{FF2B5EF4-FFF2-40B4-BE49-F238E27FC236}">
              <a16:creationId xmlns:a16="http://schemas.microsoft.com/office/drawing/2014/main" id="{EC562EF9-0F08-FEAD-DFC3-E05B238B3815}"/>
            </a:ext>
          </a:extLst>
        </xdr:cNvPr>
        <xdr:cNvSpPr/>
      </xdr:nvSpPr>
      <xdr:spPr>
        <a:xfrm>
          <a:off x="1161738" y="1324718"/>
          <a:ext cx="4404572" cy="1791392"/>
        </a:xfrm>
        <a:prstGeom prst="roundRect">
          <a:avLst/>
        </a:prstGeom>
        <a:gradFill>
          <a:gsLst>
            <a:gs pos="0">
              <a:srgbClr val="000000"/>
            </a:gs>
            <a:gs pos="50000">
              <a:srgbClr val="002164"/>
            </a:gs>
          </a:gsLst>
          <a:lin ang="5400000" scaled="1"/>
        </a:gra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latin typeface="Arial Black" panose="020B0A04020102020204" pitchFamily="34" charset="0"/>
            </a:rPr>
            <a:t>    TOTAL </a:t>
          </a:r>
        </a:p>
        <a:p>
          <a:pPr algn="l"/>
          <a:r>
            <a:rPr lang="en-IN" sz="2000">
              <a:latin typeface="Arial Black" panose="020B0A04020102020204" pitchFamily="34" charset="0"/>
            </a:rPr>
            <a:t>     RIDES</a:t>
          </a:r>
        </a:p>
        <a:p>
          <a:pPr algn="l"/>
          <a:r>
            <a:rPr lang="en-IN" sz="2000" baseline="0">
              <a:latin typeface="Arial Black" panose="020B0A04020102020204" pitchFamily="34" charset="0"/>
            </a:rPr>
            <a:t>             </a:t>
          </a:r>
          <a:r>
            <a:rPr lang="en-IN" sz="3200">
              <a:latin typeface="Arial Black" panose="020B0A04020102020204" pitchFamily="34" charset="0"/>
            </a:rPr>
            <a:t>50</a:t>
          </a:r>
        </a:p>
      </xdr:txBody>
    </xdr:sp>
    <xdr:clientData/>
  </xdr:twoCellAnchor>
  <xdr:twoCellAnchor>
    <xdr:from>
      <xdr:col>9</xdr:col>
      <xdr:colOff>299805</xdr:colOff>
      <xdr:row>7</xdr:row>
      <xdr:rowOff>14041</xdr:rowOff>
    </xdr:from>
    <xdr:to>
      <xdr:col>16</xdr:col>
      <xdr:colOff>3814</xdr:colOff>
      <xdr:row>16</xdr:row>
      <xdr:rowOff>102159</xdr:rowOff>
    </xdr:to>
    <xdr:sp macro="" textlink="">
      <xdr:nvSpPr>
        <xdr:cNvPr id="7" name="Rectangle: Rounded Corners 6">
          <a:extLst>
            <a:ext uri="{FF2B5EF4-FFF2-40B4-BE49-F238E27FC236}">
              <a16:creationId xmlns:a16="http://schemas.microsoft.com/office/drawing/2014/main" id="{8DC7AA8C-B113-4D0E-BB77-87A3D843693C}"/>
            </a:ext>
          </a:extLst>
        </xdr:cNvPr>
        <xdr:cNvSpPr/>
      </xdr:nvSpPr>
      <xdr:spPr>
        <a:xfrm>
          <a:off x="5808690" y="1325680"/>
          <a:ext cx="3988698" cy="1774512"/>
        </a:xfrm>
        <a:prstGeom prst="roundRect">
          <a:avLst/>
        </a:prstGeom>
        <a:gradFill>
          <a:gsLst>
            <a:gs pos="56643">
              <a:srgbClr val="002164"/>
            </a:gs>
            <a:gs pos="0">
              <a:srgbClr val="000000"/>
            </a:gs>
          </a:gsLst>
          <a:lin ang="5400000" scaled="1"/>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latin typeface="Arial Black" panose="020B0A04020102020204" pitchFamily="34" charset="0"/>
            </a:rPr>
            <a:t>COMPLETED</a:t>
          </a:r>
        </a:p>
        <a:p>
          <a:pPr algn="l"/>
          <a:r>
            <a:rPr lang="en-IN" sz="2000">
              <a:latin typeface="Arial Black" panose="020B0A04020102020204" pitchFamily="34" charset="0"/>
            </a:rPr>
            <a:t> RIDES</a:t>
          </a:r>
        </a:p>
        <a:p>
          <a:pPr algn="l"/>
          <a:r>
            <a:rPr lang="en-IN" sz="2800">
              <a:latin typeface="Arial Black" panose="020B0A04020102020204" pitchFamily="34" charset="0"/>
            </a:rPr>
            <a:t>      </a:t>
          </a:r>
          <a:r>
            <a:rPr lang="en-IN" sz="3200">
              <a:latin typeface="Arial Black" panose="020B0A04020102020204" pitchFamily="34" charset="0"/>
            </a:rPr>
            <a:t>47</a:t>
          </a:r>
        </a:p>
      </xdr:txBody>
    </xdr:sp>
    <xdr:clientData/>
  </xdr:twoCellAnchor>
  <xdr:twoCellAnchor>
    <xdr:from>
      <xdr:col>23</xdr:col>
      <xdr:colOff>0</xdr:colOff>
      <xdr:row>7</xdr:row>
      <xdr:rowOff>101069</xdr:rowOff>
    </xdr:from>
    <xdr:to>
      <xdr:col>29</xdr:col>
      <xdr:colOff>204330</xdr:colOff>
      <xdr:row>16</xdr:row>
      <xdr:rowOff>154925</xdr:rowOff>
    </xdr:to>
    <xdr:sp macro="" textlink="">
      <xdr:nvSpPr>
        <xdr:cNvPr id="8" name="Rectangle: Rounded Corners 7">
          <a:extLst>
            <a:ext uri="{FF2B5EF4-FFF2-40B4-BE49-F238E27FC236}">
              <a16:creationId xmlns:a16="http://schemas.microsoft.com/office/drawing/2014/main" id="{D1FB085A-7C96-4BDC-B77D-094660A9BD47}"/>
            </a:ext>
          </a:extLst>
        </xdr:cNvPr>
        <xdr:cNvSpPr/>
      </xdr:nvSpPr>
      <xdr:spPr>
        <a:xfrm>
          <a:off x="14078262" y="1412708"/>
          <a:ext cx="3876920" cy="1740250"/>
        </a:xfrm>
        <a:prstGeom prst="roundRect">
          <a:avLst/>
        </a:prstGeom>
        <a:gradFill>
          <a:gsLst>
            <a:gs pos="0">
              <a:srgbClr val="000000"/>
            </a:gs>
            <a:gs pos="58000">
              <a:srgbClr val="002060"/>
            </a:gs>
          </a:gsLst>
          <a:lin ang="5400000" scaled="1"/>
        </a:gradFill>
        <a:ln>
          <a:gradFill>
            <a:gsLst>
              <a:gs pos="0">
                <a:schemeClr val="accent1">
                  <a:lumMod val="5000"/>
                  <a:lumOff val="95000"/>
                </a:schemeClr>
              </a:gs>
              <a:gs pos="4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bg1"/>
              </a:solidFill>
              <a:latin typeface="Arial Black" panose="020B0A04020102020204" pitchFamily="34" charset="0"/>
            </a:rPr>
            <a:t>AVERAGE</a:t>
          </a:r>
        </a:p>
        <a:p>
          <a:pPr algn="l"/>
          <a:r>
            <a:rPr lang="en-IN" sz="2000">
              <a:solidFill>
                <a:schemeClr val="bg1"/>
              </a:solidFill>
              <a:latin typeface="Arial Black" panose="020B0A04020102020204" pitchFamily="34" charset="0"/>
            </a:rPr>
            <a:t> FARE</a:t>
          </a:r>
        </a:p>
        <a:p>
          <a:pPr algn="l"/>
          <a:r>
            <a:rPr lang="en-IN" sz="2000">
              <a:solidFill>
                <a:schemeClr val="bg1"/>
              </a:solidFill>
              <a:latin typeface="Arial Black" panose="020B0A04020102020204" pitchFamily="34" charset="0"/>
            </a:rPr>
            <a:t>         </a:t>
          </a:r>
          <a:r>
            <a:rPr lang="en-IN" sz="2800">
              <a:solidFill>
                <a:schemeClr val="bg1"/>
              </a:solidFill>
              <a:latin typeface="Arial Black" panose="020B0A04020102020204" pitchFamily="34" charset="0"/>
            </a:rPr>
            <a:t>360.84</a:t>
          </a:r>
        </a:p>
      </xdr:txBody>
    </xdr:sp>
    <xdr:clientData/>
  </xdr:twoCellAnchor>
  <xdr:twoCellAnchor>
    <xdr:from>
      <xdr:col>16</xdr:col>
      <xdr:colOff>199867</xdr:colOff>
      <xdr:row>7</xdr:row>
      <xdr:rowOff>24225</xdr:rowOff>
    </xdr:from>
    <xdr:to>
      <xdr:col>22</xdr:col>
      <xdr:colOff>346262</xdr:colOff>
      <xdr:row>16</xdr:row>
      <xdr:rowOff>119239</xdr:rowOff>
    </xdr:to>
    <xdr:sp macro="" textlink="">
      <xdr:nvSpPr>
        <xdr:cNvPr id="9" name="Rectangle: Rounded Corners 8">
          <a:extLst>
            <a:ext uri="{FF2B5EF4-FFF2-40B4-BE49-F238E27FC236}">
              <a16:creationId xmlns:a16="http://schemas.microsoft.com/office/drawing/2014/main" id="{83A5B340-8820-4788-B77C-B2EB2F0C633A}"/>
            </a:ext>
          </a:extLst>
        </xdr:cNvPr>
        <xdr:cNvSpPr/>
      </xdr:nvSpPr>
      <xdr:spPr>
        <a:xfrm>
          <a:off x="9993441" y="1335864"/>
          <a:ext cx="3818985" cy="1781408"/>
        </a:xfrm>
        <a:prstGeom prst="roundRect">
          <a:avLst/>
        </a:prstGeom>
        <a:gradFill>
          <a:gsLst>
            <a:gs pos="0">
              <a:srgbClr val="000000"/>
            </a:gs>
            <a:gs pos="50000">
              <a:srgbClr val="002060"/>
            </a:gs>
          </a:gsLst>
          <a:lin ang="5400000" scaled="1"/>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latin typeface="Arial Black" panose="020B0A04020102020204" pitchFamily="34" charset="0"/>
            </a:rPr>
            <a:t>TOTAL</a:t>
          </a:r>
        </a:p>
        <a:p>
          <a:pPr algn="l"/>
          <a:r>
            <a:rPr lang="en-IN" sz="2000">
              <a:latin typeface="Arial Black" panose="020B0A04020102020204" pitchFamily="34" charset="0"/>
            </a:rPr>
            <a:t>REVENUE</a:t>
          </a:r>
        </a:p>
        <a:p>
          <a:pPr algn="l"/>
          <a:r>
            <a:rPr lang="en-IN" sz="2000">
              <a:latin typeface="Arial Black" panose="020B0A04020102020204" pitchFamily="34" charset="0"/>
            </a:rPr>
            <a:t>          </a:t>
          </a:r>
          <a:r>
            <a:rPr lang="en-IN" sz="2800">
              <a:latin typeface="Arial Black" panose="020B0A04020102020204" pitchFamily="34" charset="0"/>
            </a:rPr>
            <a:t>18402</a:t>
          </a:r>
        </a:p>
      </xdr:txBody>
    </xdr:sp>
    <xdr:clientData/>
  </xdr:twoCellAnchor>
  <xdr:twoCellAnchor>
    <xdr:from>
      <xdr:col>29</xdr:col>
      <xdr:colOff>487181</xdr:colOff>
      <xdr:row>7</xdr:row>
      <xdr:rowOff>63594</xdr:rowOff>
    </xdr:from>
    <xdr:to>
      <xdr:col>36</xdr:col>
      <xdr:colOff>391677</xdr:colOff>
      <xdr:row>16</xdr:row>
      <xdr:rowOff>143660</xdr:rowOff>
    </xdr:to>
    <xdr:sp macro="" textlink="">
      <xdr:nvSpPr>
        <xdr:cNvPr id="10" name="Rectangle: Rounded Corners 9">
          <a:extLst>
            <a:ext uri="{FF2B5EF4-FFF2-40B4-BE49-F238E27FC236}">
              <a16:creationId xmlns:a16="http://schemas.microsoft.com/office/drawing/2014/main" id="{7FD645E9-BA83-4B36-82C1-F0B42AC6229E}"/>
            </a:ext>
          </a:extLst>
        </xdr:cNvPr>
        <xdr:cNvSpPr/>
      </xdr:nvSpPr>
      <xdr:spPr>
        <a:xfrm>
          <a:off x="18238033" y="1375233"/>
          <a:ext cx="4189185" cy="1766460"/>
        </a:xfrm>
        <a:prstGeom prst="roundRect">
          <a:avLst/>
        </a:prstGeom>
        <a:gradFill>
          <a:gsLst>
            <a:gs pos="0">
              <a:schemeClr val="tx1">
                <a:lumMod val="95000"/>
                <a:lumOff val="5000"/>
              </a:schemeClr>
            </a:gs>
            <a:gs pos="58000">
              <a:srgbClr val="002060"/>
            </a:gs>
          </a:gsLst>
          <a:lin ang="5400000" scaled="1"/>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latin typeface="Arial Black" panose="020B0A04020102020204" pitchFamily="34" charset="0"/>
            </a:rPr>
            <a:t>AVG CUSTOMER</a:t>
          </a:r>
        </a:p>
        <a:p>
          <a:pPr algn="l"/>
          <a:r>
            <a:rPr lang="en-IN" sz="2000">
              <a:latin typeface="Arial Black" panose="020B0A04020102020204" pitchFamily="34" charset="0"/>
            </a:rPr>
            <a:t>RATING</a:t>
          </a:r>
        </a:p>
        <a:p>
          <a:pPr algn="l"/>
          <a:r>
            <a:rPr lang="en-IN" sz="2000">
              <a:latin typeface="Arial Black" panose="020B0A04020102020204" pitchFamily="34" charset="0"/>
            </a:rPr>
            <a:t>             </a:t>
          </a:r>
          <a:r>
            <a:rPr lang="en-IN" sz="2800">
              <a:latin typeface="Arial Black" panose="020B0A04020102020204" pitchFamily="34" charset="0"/>
            </a:rPr>
            <a:t>4.564</a:t>
          </a:r>
        </a:p>
      </xdr:txBody>
    </xdr:sp>
    <xdr:clientData/>
  </xdr:twoCellAnchor>
  <xdr:twoCellAnchor>
    <xdr:from>
      <xdr:col>0</xdr:col>
      <xdr:colOff>406400</xdr:colOff>
      <xdr:row>17</xdr:row>
      <xdr:rowOff>150090</xdr:rowOff>
    </xdr:from>
    <xdr:to>
      <xdr:col>14</xdr:col>
      <xdr:colOff>304800</xdr:colOff>
      <xdr:row>36</xdr:row>
      <xdr:rowOff>149901</xdr:rowOff>
    </xdr:to>
    <xdr:graphicFrame macro="">
      <xdr:nvGraphicFramePr>
        <xdr:cNvPr id="11" name="Chart 10">
          <a:extLst>
            <a:ext uri="{FF2B5EF4-FFF2-40B4-BE49-F238E27FC236}">
              <a16:creationId xmlns:a16="http://schemas.microsoft.com/office/drawing/2014/main" id="{157CCEBC-0E78-4E15-BB9B-B4AF1C29C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368299</xdr:colOff>
      <xdr:row>18</xdr:row>
      <xdr:rowOff>53681</xdr:rowOff>
    </xdr:from>
    <xdr:to>
      <xdr:col>37</xdr:col>
      <xdr:colOff>560952</xdr:colOff>
      <xdr:row>36</xdr:row>
      <xdr:rowOff>149901</xdr:rowOff>
    </xdr:to>
    <xdr:graphicFrame macro="">
      <xdr:nvGraphicFramePr>
        <xdr:cNvPr id="12" name="Chart 11">
          <a:extLst>
            <a:ext uri="{FF2B5EF4-FFF2-40B4-BE49-F238E27FC236}">
              <a16:creationId xmlns:a16="http://schemas.microsoft.com/office/drawing/2014/main" id="{B17F6B73-0886-4ACA-A263-A07A6AC04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149900</xdr:colOff>
      <xdr:row>17</xdr:row>
      <xdr:rowOff>175250</xdr:rowOff>
    </xdr:from>
    <xdr:to>
      <xdr:col>25</xdr:col>
      <xdr:colOff>63499</xdr:colOff>
      <xdr:row>36</xdr:row>
      <xdr:rowOff>149901</xdr:rowOff>
    </xdr:to>
    <xdr:graphicFrame macro="">
      <xdr:nvGraphicFramePr>
        <xdr:cNvPr id="13" name="Chart 12">
          <a:extLst>
            <a:ext uri="{FF2B5EF4-FFF2-40B4-BE49-F238E27FC236}">
              <a16:creationId xmlns:a16="http://schemas.microsoft.com/office/drawing/2014/main" id="{BCCAC26C-531F-4CB4-B82B-35970C3B9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439088</xdr:colOff>
      <xdr:row>37</xdr:row>
      <xdr:rowOff>177067</xdr:rowOff>
    </xdr:from>
    <xdr:to>
      <xdr:col>14</xdr:col>
      <xdr:colOff>411052</xdr:colOff>
      <xdr:row>61</xdr:row>
      <xdr:rowOff>124917</xdr:rowOff>
    </xdr:to>
    <xdr:graphicFrame macro="">
      <xdr:nvGraphicFramePr>
        <xdr:cNvPr id="14" name="Chart 13">
          <a:extLst>
            <a:ext uri="{FF2B5EF4-FFF2-40B4-BE49-F238E27FC236}">
              <a16:creationId xmlns:a16="http://schemas.microsoft.com/office/drawing/2014/main" id="{3293EDE6-D039-420F-9AD1-C598DAB16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34</xdr:col>
      <xdr:colOff>241030</xdr:colOff>
      <xdr:row>1</xdr:row>
      <xdr:rowOff>120516</xdr:rowOff>
    </xdr:from>
    <xdr:to>
      <xdr:col>35</xdr:col>
      <xdr:colOff>539345</xdr:colOff>
      <xdr:row>6</xdr:row>
      <xdr:rowOff>143213</xdr:rowOff>
    </xdr:to>
    <xdr:pic>
      <xdr:nvPicPr>
        <xdr:cNvPr id="16" name="Graphic 15" descr="City with solid fill">
          <a:extLst>
            <a:ext uri="{FF2B5EF4-FFF2-40B4-BE49-F238E27FC236}">
              <a16:creationId xmlns:a16="http://schemas.microsoft.com/office/drawing/2014/main" id="{58AA4D1C-D659-3312-09D5-DDE11B44ACD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967430" y="298316"/>
          <a:ext cx="907915" cy="911697"/>
        </a:xfrm>
        <a:prstGeom prst="rect">
          <a:avLst/>
        </a:prstGeom>
      </xdr:spPr>
    </xdr:pic>
    <xdr:clientData/>
  </xdr:twoCellAnchor>
  <xdr:twoCellAnchor editAs="oneCell">
    <xdr:from>
      <xdr:col>31</xdr:col>
      <xdr:colOff>413454</xdr:colOff>
      <xdr:row>1</xdr:row>
      <xdr:rowOff>151611</xdr:rowOff>
    </xdr:from>
    <xdr:to>
      <xdr:col>33</xdr:col>
      <xdr:colOff>102169</xdr:colOff>
      <xdr:row>6</xdr:row>
      <xdr:rowOff>174308</xdr:rowOff>
    </xdr:to>
    <xdr:pic>
      <xdr:nvPicPr>
        <xdr:cNvPr id="17" name="Graphic 16" descr="City with solid fill">
          <a:extLst>
            <a:ext uri="{FF2B5EF4-FFF2-40B4-BE49-F238E27FC236}">
              <a16:creationId xmlns:a16="http://schemas.microsoft.com/office/drawing/2014/main" id="{707D5B5A-0327-48DD-A1C0-501834FFE71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311054" y="329411"/>
          <a:ext cx="907915" cy="911697"/>
        </a:xfrm>
        <a:prstGeom prst="rect">
          <a:avLst/>
        </a:prstGeom>
      </xdr:spPr>
    </xdr:pic>
    <xdr:clientData/>
  </xdr:twoCellAnchor>
  <xdr:twoCellAnchor editAs="oneCell">
    <xdr:from>
      <xdr:col>33</xdr:col>
      <xdr:colOff>58366</xdr:colOff>
      <xdr:row>1</xdr:row>
      <xdr:rowOff>145916</xdr:rowOff>
    </xdr:from>
    <xdr:to>
      <xdr:col>34</xdr:col>
      <xdr:colOff>356681</xdr:colOff>
      <xdr:row>6</xdr:row>
      <xdr:rowOff>168613</xdr:rowOff>
    </xdr:to>
    <xdr:pic>
      <xdr:nvPicPr>
        <xdr:cNvPr id="19" name="Graphic 18" descr="Schoolhouse with solid fill">
          <a:extLst>
            <a:ext uri="{FF2B5EF4-FFF2-40B4-BE49-F238E27FC236}">
              <a16:creationId xmlns:a16="http://schemas.microsoft.com/office/drawing/2014/main" id="{315485AF-7E4E-6C29-CF23-B5A1F49B48E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175166" y="323716"/>
          <a:ext cx="907915" cy="911697"/>
        </a:xfrm>
        <a:prstGeom prst="rect">
          <a:avLst/>
        </a:prstGeom>
      </xdr:spPr>
    </xdr:pic>
    <xdr:clientData/>
  </xdr:twoCellAnchor>
  <xdr:twoCellAnchor editAs="oneCell">
    <xdr:from>
      <xdr:col>30</xdr:col>
      <xdr:colOff>517728</xdr:colOff>
      <xdr:row>2</xdr:row>
      <xdr:rowOff>32425</xdr:rowOff>
    </xdr:from>
    <xdr:to>
      <xdr:col>31</xdr:col>
      <xdr:colOff>559881</xdr:colOff>
      <xdr:row>6</xdr:row>
      <xdr:rowOff>71335</xdr:rowOff>
    </xdr:to>
    <xdr:pic>
      <xdr:nvPicPr>
        <xdr:cNvPr id="21" name="Graphic 20" descr="Building with solid fill">
          <a:extLst>
            <a:ext uri="{FF2B5EF4-FFF2-40B4-BE49-F238E27FC236}">
              <a16:creationId xmlns:a16="http://schemas.microsoft.com/office/drawing/2014/main" id="{F528A640-BBF9-6A66-387B-3840BCD15DB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8805728" y="388025"/>
          <a:ext cx="651753" cy="750110"/>
        </a:xfrm>
        <a:prstGeom prst="rect">
          <a:avLst/>
        </a:prstGeom>
      </xdr:spPr>
    </xdr:pic>
    <xdr:clientData/>
  </xdr:twoCellAnchor>
  <xdr:twoCellAnchor editAs="oneCell">
    <xdr:from>
      <xdr:col>29</xdr:col>
      <xdr:colOff>585280</xdr:colOff>
      <xdr:row>0</xdr:row>
      <xdr:rowOff>30264</xdr:rowOff>
    </xdr:from>
    <xdr:to>
      <xdr:col>30</xdr:col>
      <xdr:colOff>601493</xdr:colOff>
      <xdr:row>3</xdr:row>
      <xdr:rowOff>127000</xdr:rowOff>
    </xdr:to>
    <xdr:pic>
      <xdr:nvPicPr>
        <xdr:cNvPr id="23" name="Graphic 22" descr="Marker with solid fill">
          <a:extLst>
            <a:ext uri="{FF2B5EF4-FFF2-40B4-BE49-F238E27FC236}">
              <a16:creationId xmlns:a16="http://schemas.microsoft.com/office/drawing/2014/main" id="{8A6900BC-7972-D9AD-0B9E-E84F169F54F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8263680" y="30264"/>
          <a:ext cx="625813" cy="630136"/>
        </a:xfrm>
        <a:prstGeom prst="rect">
          <a:avLst/>
        </a:prstGeom>
      </xdr:spPr>
    </xdr:pic>
    <xdr:clientData/>
  </xdr:twoCellAnchor>
  <xdr:twoCellAnchor editAs="oneCell">
    <xdr:from>
      <xdr:col>25</xdr:col>
      <xdr:colOff>323636</xdr:colOff>
      <xdr:row>1</xdr:row>
      <xdr:rowOff>153543</xdr:rowOff>
    </xdr:from>
    <xdr:to>
      <xdr:col>27</xdr:col>
      <xdr:colOff>12350</xdr:colOff>
      <xdr:row>6</xdr:row>
      <xdr:rowOff>176241</xdr:rowOff>
    </xdr:to>
    <xdr:pic>
      <xdr:nvPicPr>
        <xdr:cNvPr id="25" name="Graphic 24" descr="Car with solid fill">
          <a:extLst>
            <a:ext uri="{FF2B5EF4-FFF2-40B4-BE49-F238E27FC236}">
              <a16:creationId xmlns:a16="http://schemas.microsoft.com/office/drawing/2014/main" id="{2EF0541C-2B4E-5994-B490-4F5B2C9F30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563636" y="331343"/>
          <a:ext cx="907914" cy="911698"/>
        </a:xfrm>
        <a:prstGeom prst="rect">
          <a:avLst/>
        </a:prstGeom>
      </xdr:spPr>
    </xdr:pic>
    <xdr:clientData/>
  </xdr:twoCellAnchor>
  <xdr:twoCellAnchor>
    <xdr:from>
      <xdr:col>35</xdr:col>
      <xdr:colOff>124918</xdr:colOff>
      <xdr:row>8</xdr:row>
      <xdr:rowOff>32738</xdr:rowOff>
    </xdr:from>
    <xdr:to>
      <xdr:col>36</xdr:col>
      <xdr:colOff>177470</xdr:colOff>
      <xdr:row>11</xdr:row>
      <xdr:rowOff>115012</xdr:rowOff>
    </xdr:to>
    <xdr:sp macro="" textlink="">
      <xdr:nvSpPr>
        <xdr:cNvPr id="28" name="Oval 27">
          <a:extLst>
            <a:ext uri="{FF2B5EF4-FFF2-40B4-BE49-F238E27FC236}">
              <a16:creationId xmlns:a16="http://schemas.microsoft.com/office/drawing/2014/main" id="{462A9513-D13E-892F-C362-7761DC2DD557}"/>
            </a:ext>
          </a:extLst>
        </xdr:cNvPr>
        <xdr:cNvSpPr/>
      </xdr:nvSpPr>
      <xdr:spPr>
        <a:xfrm>
          <a:off x="21548361" y="1531754"/>
          <a:ext cx="664650" cy="644406"/>
        </a:xfrm>
        <a:prstGeom prst="ellipse">
          <a:avLst/>
        </a:prstGeom>
        <a:gradFill flip="none" rotWithShape="1">
          <a:gsLst>
            <a:gs pos="0">
              <a:srgbClr val="000066">
                <a:tint val="66000"/>
                <a:satMod val="160000"/>
              </a:srgbClr>
            </a:gs>
            <a:gs pos="50000">
              <a:srgbClr val="000066">
                <a:tint val="44500"/>
                <a:satMod val="160000"/>
              </a:srgbClr>
            </a:gs>
            <a:gs pos="100000">
              <a:srgbClr val="000066">
                <a:tint val="23500"/>
                <a:satMod val="160000"/>
              </a:srgb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568773</xdr:colOff>
      <xdr:row>8</xdr:row>
      <xdr:rowOff>49418</xdr:rowOff>
    </xdr:from>
    <xdr:to>
      <xdr:col>29</xdr:col>
      <xdr:colOff>16980</xdr:colOff>
      <xdr:row>11</xdr:row>
      <xdr:rowOff>128246</xdr:rowOff>
    </xdr:to>
    <xdr:sp macro="" textlink="">
      <xdr:nvSpPr>
        <xdr:cNvPr id="29" name="Oval 28">
          <a:extLst>
            <a:ext uri="{FF2B5EF4-FFF2-40B4-BE49-F238E27FC236}">
              <a16:creationId xmlns:a16="http://schemas.microsoft.com/office/drawing/2014/main" id="{4C7686FF-7D42-49D7-A64E-8E28075AB8A1}"/>
            </a:ext>
          </a:extLst>
        </xdr:cNvPr>
        <xdr:cNvSpPr/>
      </xdr:nvSpPr>
      <xdr:spPr>
        <a:xfrm>
          <a:off x="17095429" y="1548434"/>
          <a:ext cx="672403" cy="640960"/>
        </a:xfrm>
        <a:prstGeom prst="ellipse">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50061</xdr:colOff>
      <xdr:row>7</xdr:row>
      <xdr:rowOff>139360</xdr:rowOff>
    </xdr:from>
    <xdr:to>
      <xdr:col>22</xdr:col>
      <xdr:colOff>102612</xdr:colOff>
      <xdr:row>11</xdr:row>
      <xdr:rowOff>34257</xdr:rowOff>
    </xdr:to>
    <xdr:sp macro="" textlink="">
      <xdr:nvSpPr>
        <xdr:cNvPr id="30" name="Oval 29">
          <a:extLst>
            <a:ext uri="{FF2B5EF4-FFF2-40B4-BE49-F238E27FC236}">
              <a16:creationId xmlns:a16="http://schemas.microsoft.com/office/drawing/2014/main" id="{C70BA663-870A-4D69-A20D-25D600C64E4C}"/>
            </a:ext>
          </a:extLst>
        </xdr:cNvPr>
        <xdr:cNvSpPr/>
      </xdr:nvSpPr>
      <xdr:spPr>
        <a:xfrm>
          <a:off x="12904127" y="1450999"/>
          <a:ext cx="664649" cy="644406"/>
        </a:xfrm>
        <a:prstGeom prst="ellipse">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318335</xdr:colOff>
      <xdr:row>7</xdr:row>
      <xdr:rowOff>109120</xdr:rowOff>
    </xdr:from>
    <xdr:to>
      <xdr:col>15</xdr:col>
      <xdr:colOff>370886</xdr:colOff>
      <xdr:row>11</xdr:row>
      <xdr:rowOff>4017</xdr:rowOff>
    </xdr:to>
    <xdr:sp macro="" textlink="">
      <xdr:nvSpPr>
        <xdr:cNvPr id="31" name="Oval 30">
          <a:extLst>
            <a:ext uri="{FF2B5EF4-FFF2-40B4-BE49-F238E27FC236}">
              <a16:creationId xmlns:a16="http://schemas.microsoft.com/office/drawing/2014/main" id="{0C59408D-034C-4522-A2AD-1BCB983CC536}"/>
            </a:ext>
          </a:extLst>
        </xdr:cNvPr>
        <xdr:cNvSpPr/>
      </xdr:nvSpPr>
      <xdr:spPr>
        <a:xfrm>
          <a:off x="8887712" y="1420759"/>
          <a:ext cx="664649" cy="644406"/>
        </a:xfrm>
        <a:prstGeom prst="ellipse">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360462</xdr:colOff>
      <xdr:row>8</xdr:row>
      <xdr:rowOff>30206</xdr:rowOff>
    </xdr:from>
    <xdr:to>
      <xdr:col>8</xdr:col>
      <xdr:colOff>413014</xdr:colOff>
      <xdr:row>11</xdr:row>
      <xdr:rowOff>112480</xdr:rowOff>
    </xdr:to>
    <xdr:sp macro="" textlink="">
      <xdr:nvSpPr>
        <xdr:cNvPr id="32" name="Oval 31">
          <a:extLst>
            <a:ext uri="{FF2B5EF4-FFF2-40B4-BE49-F238E27FC236}">
              <a16:creationId xmlns:a16="http://schemas.microsoft.com/office/drawing/2014/main" id="{CFE14D13-2860-4955-9F0D-19D1038D20B8}"/>
            </a:ext>
          </a:extLst>
        </xdr:cNvPr>
        <xdr:cNvSpPr/>
      </xdr:nvSpPr>
      <xdr:spPr>
        <a:xfrm>
          <a:off x="4645151" y="1529222"/>
          <a:ext cx="664650" cy="644406"/>
        </a:xfrm>
        <a:prstGeom prst="ellipse">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35</xdr:col>
      <xdr:colOff>208991</xdr:colOff>
      <xdr:row>8</xdr:row>
      <xdr:rowOff>91116</xdr:rowOff>
    </xdr:from>
    <xdr:to>
      <xdr:col>36</xdr:col>
      <xdr:colOff>95657</xdr:colOff>
      <xdr:row>11</xdr:row>
      <xdr:rowOff>39975</xdr:rowOff>
    </xdr:to>
    <xdr:pic>
      <xdr:nvPicPr>
        <xdr:cNvPr id="39" name="Graphic 38" descr="Star with solid fill">
          <a:extLst>
            <a:ext uri="{FF2B5EF4-FFF2-40B4-BE49-F238E27FC236}">
              <a16:creationId xmlns:a16="http://schemas.microsoft.com/office/drawing/2014/main" id="{FBFB61B3-455A-D3AD-D30A-4F40E5B15E8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1632434" y="1590132"/>
          <a:ext cx="498764" cy="510991"/>
        </a:xfrm>
        <a:prstGeom prst="rect">
          <a:avLst/>
        </a:prstGeom>
      </xdr:spPr>
    </xdr:pic>
    <xdr:clientData/>
  </xdr:twoCellAnchor>
  <xdr:twoCellAnchor editAs="oneCell">
    <xdr:from>
      <xdr:col>21</xdr:col>
      <xdr:colOff>129004</xdr:colOff>
      <xdr:row>8</xdr:row>
      <xdr:rowOff>17944</xdr:rowOff>
    </xdr:from>
    <xdr:to>
      <xdr:col>21</xdr:col>
      <xdr:colOff>600059</xdr:colOff>
      <xdr:row>10</xdr:row>
      <xdr:rowOff>128781</xdr:rowOff>
    </xdr:to>
    <xdr:pic>
      <xdr:nvPicPr>
        <xdr:cNvPr id="41" name="Graphic 40" descr="Money with solid fill">
          <a:extLst>
            <a:ext uri="{FF2B5EF4-FFF2-40B4-BE49-F238E27FC236}">
              <a16:creationId xmlns:a16="http://schemas.microsoft.com/office/drawing/2014/main" id="{1830E469-BC87-F892-ED3C-C9366D20437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983070" y="1516960"/>
          <a:ext cx="471055" cy="485591"/>
        </a:xfrm>
        <a:prstGeom prst="rect">
          <a:avLst/>
        </a:prstGeom>
      </xdr:spPr>
    </xdr:pic>
    <xdr:clientData/>
  </xdr:twoCellAnchor>
  <xdr:twoCellAnchor editAs="oneCell">
    <xdr:from>
      <xdr:col>14</xdr:col>
      <xdr:colOff>408369</xdr:colOff>
      <xdr:row>8</xdr:row>
      <xdr:rowOff>29071</xdr:rowOff>
    </xdr:from>
    <xdr:to>
      <xdr:col>15</xdr:col>
      <xdr:colOff>283679</xdr:colOff>
      <xdr:row>10</xdr:row>
      <xdr:rowOff>153763</xdr:rowOff>
    </xdr:to>
    <xdr:pic>
      <xdr:nvPicPr>
        <xdr:cNvPr id="43" name="Graphic 42" descr="Checkmark with solid fill">
          <a:extLst>
            <a:ext uri="{FF2B5EF4-FFF2-40B4-BE49-F238E27FC236}">
              <a16:creationId xmlns:a16="http://schemas.microsoft.com/office/drawing/2014/main" id="{E9DB2D9F-265D-A360-22CD-61F208057BD7}"/>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8977746" y="1528087"/>
          <a:ext cx="487408" cy="499446"/>
        </a:xfrm>
        <a:prstGeom prst="rect">
          <a:avLst/>
        </a:prstGeom>
      </xdr:spPr>
    </xdr:pic>
    <xdr:clientData/>
  </xdr:twoCellAnchor>
  <xdr:twoCellAnchor editAs="oneCell">
    <xdr:from>
      <xdr:col>7</xdr:col>
      <xdr:colOff>494447</xdr:colOff>
      <xdr:row>8</xdr:row>
      <xdr:rowOff>109474</xdr:rowOff>
    </xdr:from>
    <xdr:to>
      <xdr:col>8</xdr:col>
      <xdr:colOff>342048</xdr:colOff>
      <xdr:row>11</xdr:row>
      <xdr:rowOff>26347</xdr:rowOff>
    </xdr:to>
    <xdr:pic>
      <xdr:nvPicPr>
        <xdr:cNvPr id="45" name="Graphic 44" descr="Chevron arrows with solid fill">
          <a:extLst>
            <a:ext uri="{FF2B5EF4-FFF2-40B4-BE49-F238E27FC236}">
              <a16:creationId xmlns:a16="http://schemas.microsoft.com/office/drawing/2014/main" id="{7939455B-58E4-6250-8323-BB66D43B582E}"/>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779136" y="1608490"/>
          <a:ext cx="459699" cy="479005"/>
        </a:xfrm>
        <a:prstGeom prst="rect">
          <a:avLst/>
        </a:prstGeom>
      </xdr:spPr>
    </xdr:pic>
    <xdr:clientData/>
  </xdr:twoCellAnchor>
  <xdr:twoCellAnchor editAs="oneCell">
    <xdr:from>
      <xdr:col>28</xdr:col>
      <xdr:colOff>112199</xdr:colOff>
      <xdr:row>8</xdr:row>
      <xdr:rowOff>173296</xdr:rowOff>
    </xdr:from>
    <xdr:to>
      <xdr:col>28</xdr:col>
      <xdr:colOff>583254</xdr:colOff>
      <xdr:row>11</xdr:row>
      <xdr:rowOff>104024</xdr:rowOff>
    </xdr:to>
    <xdr:pic>
      <xdr:nvPicPr>
        <xdr:cNvPr id="47" name="Graphic 46" descr="Business Growth with solid fill">
          <a:extLst>
            <a:ext uri="{FF2B5EF4-FFF2-40B4-BE49-F238E27FC236}">
              <a16:creationId xmlns:a16="http://schemas.microsoft.com/office/drawing/2014/main" id="{D92AEB93-4C4E-18BE-123C-815FEB187DC2}"/>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7250953" y="1672312"/>
          <a:ext cx="471055" cy="492860"/>
        </a:xfrm>
        <a:prstGeom prst="rect">
          <a:avLst/>
        </a:prstGeom>
      </xdr:spPr>
    </xdr:pic>
    <xdr:clientData/>
  </xdr:twoCellAnchor>
  <xdr:twoCellAnchor>
    <xdr:from>
      <xdr:col>15</xdr:col>
      <xdr:colOff>182710</xdr:colOff>
      <xdr:row>38</xdr:row>
      <xdr:rowOff>37683</xdr:rowOff>
    </xdr:from>
    <xdr:to>
      <xdr:col>25</xdr:col>
      <xdr:colOff>99517</xdr:colOff>
      <xdr:row>61</xdr:row>
      <xdr:rowOff>125126</xdr:rowOff>
    </xdr:to>
    <xdr:graphicFrame macro="">
      <xdr:nvGraphicFramePr>
        <xdr:cNvPr id="4" name="Chart 3">
          <a:extLst>
            <a:ext uri="{FF2B5EF4-FFF2-40B4-BE49-F238E27FC236}">
              <a16:creationId xmlns:a16="http://schemas.microsoft.com/office/drawing/2014/main" id="{9CD39AA9-B92A-46E4-9C72-14976AD94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25</xdr:col>
      <xdr:colOff>350518</xdr:colOff>
      <xdr:row>38</xdr:row>
      <xdr:rowOff>63500</xdr:rowOff>
    </xdr:from>
    <xdr:to>
      <xdr:col>37</xdr:col>
      <xdr:colOff>558800</xdr:colOff>
      <xdr:row>61</xdr:row>
      <xdr:rowOff>88899</xdr:rowOff>
    </xdr:to>
    <xdr:graphicFrame macro="">
      <xdr:nvGraphicFramePr>
        <xdr:cNvPr id="15" name="Chart 14">
          <a:extLst>
            <a:ext uri="{FF2B5EF4-FFF2-40B4-BE49-F238E27FC236}">
              <a16:creationId xmlns:a16="http://schemas.microsoft.com/office/drawing/2014/main" id="{00CBBB7A-FC72-4A1D-9BB3-43C3EEDB0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 refreshedDate="46244.451955787037" createdVersion="8" refreshedVersion="8" minRefreshableVersion="3" recordCount="50" xr:uid="{42924547-B65E-45A7-8AA5-1F94EC8050D2}">
  <cacheSource type="worksheet">
    <worksheetSource name="Table1"/>
  </cacheSource>
  <cacheFields count="14">
    <cacheField name="Ride_ID" numFmtId="0">
      <sharedItems count="50">
        <s v="UBR001"/>
        <s v="UBR002"/>
        <s v="UBR003"/>
        <s v="UBR004"/>
        <s v="UBR005"/>
        <s v="UBR006"/>
        <s v="UBR007"/>
        <s v="UBR008"/>
        <s v="UBR009"/>
        <s v="UBR010"/>
        <s v="UBR011"/>
        <s v="UBR012"/>
        <s v="UBR013"/>
        <s v="UBR014"/>
        <s v="UBR015"/>
        <s v="UBR016"/>
        <s v="UBR017"/>
        <s v="UBR018"/>
        <s v="UBR019"/>
        <s v="UBR020"/>
        <s v="UBR021"/>
        <s v="UBR022"/>
        <s v="UBR023"/>
        <s v="UBR024"/>
        <s v="UBR025"/>
        <s v="UBR026"/>
        <s v="UBR027"/>
        <s v="UBR028"/>
        <s v="UBR029"/>
        <s v="UBR030"/>
        <s v="UBR031"/>
        <s v="UBR032"/>
        <s v="UBR033"/>
        <s v="UBR034"/>
        <s v="UBR035"/>
        <s v="UBR036"/>
        <s v="UBR037"/>
        <s v="UBR038"/>
        <s v="UBR039"/>
        <s v="UBR040"/>
        <s v="UBR041"/>
        <s v="UBR042"/>
        <s v="UBR043"/>
        <s v="UBR044"/>
        <s v="UBR045"/>
        <s v="UBR046"/>
        <s v="UBR047"/>
        <s v="UBR048"/>
        <s v="UBR049"/>
        <s v="UBR050"/>
      </sharedItems>
    </cacheField>
    <cacheField name="Date" numFmtId="15">
      <sharedItems containsSemiMixedTypes="0" containsNonDate="0" containsDate="1" containsString="0" minDate="2026-08-01T00:00:00" maxDate="2026-08-10T00:00:00" count="9">
        <d v="2026-08-01T00:00:00"/>
        <d v="2026-08-02T00:00:00"/>
        <d v="2026-08-03T00:00:00"/>
        <d v="2026-08-04T00:00:00"/>
        <d v="2026-08-05T00:00:00"/>
        <d v="2026-08-06T00:00:00"/>
        <d v="2026-08-07T00:00:00"/>
        <d v="2026-08-08T00:00:00"/>
        <d v="2026-08-09T00:00:00"/>
      </sharedItems>
    </cacheField>
    <cacheField name="City" numFmtId="0">
      <sharedItems count="7">
        <s v="Bengaluru"/>
        <s v="Mumbai"/>
        <s v="Delhi"/>
        <s v="Hyderabad"/>
        <s v="Chennai"/>
        <s v="Pune"/>
        <s v="Kochi"/>
      </sharedItems>
    </cacheField>
    <cacheField name="Vehicle_Type" numFmtId="0">
      <sharedItems count="4">
        <s v="UberGo"/>
        <s v="UberXL"/>
        <s v="Premier"/>
        <s v="Auto"/>
      </sharedItems>
    </cacheField>
    <cacheField name="Trip_Type" numFmtId="0">
      <sharedItems count="2">
        <s v="City"/>
        <s v="Airport"/>
      </sharedItems>
    </cacheField>
    <cacheField name="Customer_Type" numFmtId="0">
      <sharedItems count="3">
        <s v="Regular"/>
        <s v="New"/>
        <s v="Premium"/>
      </sharedItems>
    </cacheField>
    <cacheField name="Payment_Mode" numFmtId="0">
      <sharedItems count="3">
        <s v="UPI"/>
        <s v="Card"/>
        <s v="Cash"/>
      </sharedItems>
    </cacheField>
    <cacheField name="Distance_KM" numFmtId="0">
      <sharedItems containsSemiMixedTypes="0" containsString="0" containsNumber="1" minValue="3.2" maxValue="28.7"/>
    </cacheField>
    <cacheField name="Fare_INR" numFmtId="0">
      <sharedItems containsSemiMixedTypes="0" containsString="0" containsNumber="1" containsInteger="1" minValue="80" maxValue="890"/>
    </cacheField>
    <cacheField name="Discount_INR" numFmtId="0">
      <sharedItems containsSemiMixedTypes="0" containsString="0" containsNumber="1" containsInteger="1" minValue="0" maxValue="100"/>
    </cacheField>
    <cacheField name="Driver_Rating" numFmtId="0">
      <sharedItems containsSemiMixedTypes="0" containsString="0" containsNumber="1" minValue="4.2" maxValue="4.9000000000000004"/>
    </cacheField>
    <cacheField name="Customer_Rating" numFmtId="0">
      <sharedItems containsSemiMixedTypes="0" containsString="0" containsNumber="1" minValue="4" maxValue="4.9000000000000004"/>
    </cacheField>
    <cacheField name="Trip_Duration_Min" numFmtId="0">
      <sharedItems containsSemiMixedTypes="0" containsString="0" containsNumber="1" containsInteger="1" minValue="14" maxValue="67"/>
    </cacheField>
    <cacheField name="Status" numFmtId="0">
      <sharedItems count="2">
        <s v="Completed"/>
        <s v="Cancelled"/>
      </sharedItems>
    </cacheField>
  </cacheFields>
  <extLst>
    <ext xmlns:x14="http://schemas.microsoft.com/office/spreadsheetml/2009/9/main" uri="{725AE2AE-9491-48be-B2B4-4EB974FC3084}">
      <x14:pivotCacheDefinition pivotCacheId="8794157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x v="0"/>
    <x v="0"/>
    <x v="0"/>
    <n v="8.5"/>
    <n v="245"/>
    <n v="20"/>
    <n v="4.8"/>
    <n v="4.7"/>
    <n v="28"/>
    <x v="0"/>
  </r>
  <r>
    <x v="1"/>
    <x v="0"/>
    <x v="1"/>
    <x v="0"/>
    <x v="0"/>
    <x v="1"/>
    <x v="1"/>
    <n v="12.2"/>
    <n v="385"/>
    <n v="50"/>
    <n v="4.5999999999999996"/>
    <n v="4.5"/>
    <n v="41"/>
    <x v="0"/>
  </r>
  <r>
    <x v="2"/>
    <x v="0"/>
    <x v="2"/>
    <x v="1"/>
    <x v="1"/>
    <x v="0"/>
    <x v="0"/>
    <n v="24.5"/>
    <n v="720"/>
    <n v="80"/>
    <n v="4.9000000000000004"/>
    <n v="4.8"/>
    <n v="55"/>
    <x v="0"/>
  </r>
  <r>
    <x v="3"/>
    <x v="0"/>
    <x v="3"/>
    <x v="0"/>
    <x v="0"/>
    <x v="0"/>
    <x v="2"/>
    <n v="6.8"/>
    <n v="190"/>
    <n v="0"/>
    <n v="4.5"/>
    <n v="4.5999999999999996"/>
    <n v="22"/>
    <x v="0"/>
  </r>
  <r>
    <x v="4"/>
    <x v="0"/>
    <x v="4"/>
    <x v="2"/>
    <x v="0"/>
    <x v="2"/>
    <x v="1"/>
    <n v="10.4"/>
    <n v="410"/>
    <n v="30"/>
    <n v="4.9000000000000004"/>
    <n v="4.9000000000000004"/>
    <n v="35"/>
    <x v="0"/>
  </r>
  <r>
    <x v="5"/>
    <x v="1"/>
    <x v="5"/>
    <x v="0"/>
    <x v="0"/>
    <x v="1"/>
    <x v="0"/>
    <n v="7.2"/>
    <n v="215"/>
    <n v="25"/>
    <n v="4.7"/>
    <n v="4.4000000000000004"/>
    <n v="25"/>
    <x v="0"/>
  </r>
  <r>
    <x v="6"/>
    <x v="1"/>
    <x v="0"/>
    <x v="3"/>
    <x v="0"/>
    <x v="0"/>
    <x v="0"/>
    <n v="4.5"/>
    <n v="105"/>
    <n v="10"/>
    <n v="4.5999999999999996"/>
    <n v="4.5"/>
    <n v="18"/>
    <x v="0"/>
  </r>
  <r>
    <x v="7"/>
    <x v="1"/>
    <x v="1"/>
    <x v="1"/>
    <x v="1"/>
    <x v="2"/>
    <x v="1"/>
    <n v="28.7"/>
    <n v="890"/>
    <n v="100"/>
    <n v="4.8"/>
    <n v="4.9000000000000004"/>
    <n v="67"/>
    <x v="0"/>
  </r>
  <r>
    <x v="8"/>
    <x v="1"/>
    <x v="2"/>
    <x v="0"/>
    <x v="0"/>
    <x v="0"/>
    <x v="2"/>
    <n v="9.8000000000000007"/>
    <n v="290"/>
    <n v="0"/>
    <n v="4.4000000000000004"/>
    <n v="4.2"/>
    <n v="31"/>
    <x v="0"/>
  </r>
  <r>
    <x v="9"/>
    <x v="1"/>
    <x v="6"/>
    <x v="0"/>
    <x v="1"/>
    <x v="1"/>
    <x v="0"/>
    <n v="18.5"/>
    <n v="540"/>
    <n v="60"/>
    <n v="4.7"/>
    <n v="4.5999999999999996"/>
    <n v="44"/>
    <x v="0"/>
  </r>
  <r>
    <x v="10"/>
    <x v="2"/>
    <x v="0"/>
    <x v="2"/>
    <x v="0"/>
    <x v="2"/>
    <x v="1"/>
    <n v="14.2"/>
    <n v="560"/>
    <n v="40"/>
    <n v="4.9000000000000004"/>
    <n v="4.8"/>
    <n v="43"/>
    <x v="0"/>
  </r>
  <r>
    <x v="11"/>
    <x v="2"/>
    <x v="1"/>
    <x v="0"/>
    <x v="0"/>
    <x v="0"/>
    <x v="0"/>
    <n v="5.7"/>
    <n v="175"/>
    <n v="15"/>
    <n v="4.5999999999999996"/>
    <n v="4.7"/>
    <n v="20"/>
    <x v="0"/>
  </r>
  <r>
    <x v="12"/>
    <x v="2"/>
    <x v="2"/>
    <x v="3"/>
    <x v="0"/>
    <x v="1"/>
    <x v="2"/>
    <n v="3.8"/>
    <n v="90"/>
    <n v="0"/>
    <n v="4.3"/>
    <n v="4.0999999999999996"/>
    <n v="16"/>
    <x v="0"/>
  </r>
  <r>
    <x v="13"/>
    <x v="2"/>
    <x v="3"/>
    <x v="1"/>
    <x v="1"/>
    <x v="0"/>
    <x v="1"/>
    <n v="22.4"/>
    <n v="680"/>
    <n v="70"/>
    <n v="4.8"/>
    <n v="4.7"/>
    <n v="52"/>
    <x v="0"/>
  </r>
  <r>
    <x v="14"/>
    <x v="2"/>
    <x v="4"/>
    <x v="0"/>
    <x v="0"/>
    <x v="0"/>
    <x v="0"/>
    <n v="8.9"/>
    <n v="260"/>
    <n v="20"/>
    <n v="4.7"/>
    <n v="4.5999999999999996"/>
    <n v="29"/>
    <x v="0"/>
  </r>
  <r>
    <x v="15"/>
    <x v="2"/>
    <x v="5"/>
    <x v="2"/>
    <x v="0"/>
    <x v="2"/>
    <x v="1"/>
    <n v="11.5"/>
    <n v="450"/>
    <n v="35"/>
    <n v="4.9000000000000004"/>
    <n v="4.9000000000000004"/>
    <n v="37"/>
    <x v="0"/>
  </r>
  <r>
    <x v="16"/>
    <x v="3"/>
    <x v="0"/>
    <x v="0"/>
    <x v="0"/>
    <x v="1"/>
    <x v="0"/>
    <n v="6.4"/>
    <n v="185"/>
    <n v="20"/>
    <n v="4.5"/>
    <n v="4.3"/>
    <n v="23"/>
    <x v="1"/>
  </r>
  <r>
    <x v="17"/>
    <x v="3"/>
    <x v="1"/>
    <x v="0"/>
    <x v="0"/>
    <x v="0"/>
    <x v="2"/>
    <n v="10.6"/>
    <n v="320"/>
    <n v="0"/>
    <n v="4.7"/>
    <n v="4.5"/>
    <n v="34"/>
    <x v="0"/>
  </r>
  <r>
    <x v="18"/>
    <x v="3"/>
    <x v="2"/>
    <x v="2"/>
    <x v="1"/>
    <x v="2"/>
    <x v="1"/>
    <n v="26.3"/>
    <n v="840"/>
    <n v="90"/>
    <n v="4.9000000000000004"/>
    <n v="4.8"/>
    <n v="61"/>
    <x v="0"/>
  </r>
  <r>
    <x v="19"/>
    <x v="3"/>
    <x v="6"/>
    <x v="3"/>
    <x v="0"/>
    <x v="0"/>
    <x v="0"/>
    <n v="5.0999999999999996"/>
    <n v="115"/>
    <n v="10"/>
    <n v="4.5"/>
    <n v="4.4000000000000004"/>
    <n v="19"/>
    <x v="0"/>
  </r>
  <r>
    <x v="20"/>
    <x v="3"/>
    <x v="3"/>
    <x v="0"/>
    <x v="0"/>
    <x v="0"/>
    <x v="0"/>
    <n v="9.3000000000000007"/>
    <n v="275"/>
    <n v="25"/>
    <n v="4.5999999999999996"/>
    <n v="4.7"/>
    <n v="30"/>
    <x v="0"/>
  </r>
  <r>
    <x v="21"/>
    <x v="3"/>
    <x v="4"/>
    <x v="1"/>
    <x v="1"/>
    <x v="1"/>
    <x v="1"/>
    <n v="21.8"/>
    <n v="650"/>
    <n v="75"/>
    <n v="4.7"/>
    <n v="4.5"/>
    <n v="50"/>
    <x v="0"/>
  </r>
  <r>
    <x v="22"/>
    <x v="4"/>
    <x v="5"/>
    <x v="0"/>
    <x v="0"/>
    <x v="0"/>
    <x v="2"/>
    <n v="7.6"/>
    <n v="225"/>
    <n v="0"/>
    <n v="4.4000000000000004"/>
    <n v="4.3"/>
    <n v="26"/>
    <x v="0"/>
  </r>
  <r>
    <x v="23"/>
    <x v="4"/>
    <x v="0"/>
    <x v="3"/>
    <x v="0"/>
    <x v="1"/>
    <x v="0"/>
    <n v="3.2"/>
    <n v="80"/>
    <n v="5"/>
    <n v="4.5"/>
    <n v="4.2"/>
    <n v="14"/>
    <x v="0"/>
  </r>
  <r>
    <x v="24"/>
    <x v="4"/>
    <x v="1"/>
    <x v="2"/>
    <x v="0"/>
    <x v="2"/>
    <x v="1"/>
    <n v="13.7"/>
    <n v="525"/>
    <n v="45"/>
    <n v="4.9000000000000004"/>
    <n v="4.9000000000000004"/>
    <n v="42"/>
    <x v="0"/>
  </r>
  <r>
    <x v="25"/>
    <x v="4"/>
    <x v="2"/>
    <x v="0"/>
    <x v="0"/>
    <x v="0"/>
    <x v="0"/>
    <n v="11.4"/>
    <n v="335"/>
    <n v="30"/>
    <n v="4.8"/>
    <n v="4.7"/>
    <n v="36"/>
    <x v="0"/>
  </r>
  <r>
    <x v="26"/>
    <x v="4"/>
    <x v="3"/>
    <x v="0"/>
    <x v="0"/>
    <x v="1"/>
    <x v="2"/>
    <n v="5.9"/>
    <n v="165"/>
    <n v="0"/>
    <n v="4.3"/>
    <n v="4.0999999999999996"/>
    <n v="21"/>
    <x v="1"/>
  </r>
  <r>
    <x v="27"/>
    <x v="4"/>
    <x v="4"/>
    <x v="0"/>
    <x v="0"/>
    <x v="0"/>
    <x v="0"/>
    <n v="8.1999999999999993"/>
    <n v="240"/>
    <n v="20"/>
    <n v="4.5999999999999996"/>
    <n v="4.5"/>
    <n v="27"/>
    <x v="0"/>
  </r>
  <r>
    <x v="28"/>
    <x v="5"/>
    <x v="6"/>
    <x v="2"/>
    <x v="1"/>
    <x v="2"/>
    <x v="1"/>
    <n v="19.600000000000001"/>
    <n v="610"/>
    <n v="60"/>
    <n v="4.8"/>
    <n v="4.8"/>
    <n v="47"/>
    <x v="0"/>
  </r>
  <r>
    <x v="29"/>
    <x v="5"/>
    <x v="5"/>
    <x v="3"/>
    <x v="0"/>
    <x v="0"/>
    <x v="0"/>
    <n v="4.2"/>
    <n v="95"/>
    <n v="5"/>
    <n v="4.5"/>
    <n v="4.4000000000000004"/>
    <n v="17"/>
    <x v="0"/>
  </r>
  <r>
    <x v="30"/>
    <x v="5"/>
    <x v="0"/>
    <x v="1"/>
    <x v="1"/>
    <x v="0"/>
    <x v="1"/>
    <n v="25.8"/>
    <n v="795"/>
    <n v="85"/>
    <n v="4.9000000000000004"/>
    <n v="4.8"/>
    <n v="59"/>
    <x v="0"/>
  </r>
  <r>
    <x v="31"/>
    <x v="5"/>
    <x v="1"/>
    <x v="0"/>
    <x v="0"/>
    <x v="1"/>
    <x v="0"/>
    <n v="9.1"/>
    <n v="270"/>
    <n v="30"/>
    <n v="4.5999999999999996"/>
    <n v="4.5"/>
    <n v="30"/>
    <x v="0"/>
  </r>
  <r>
    <x v="32"/>
    <x v="5"/>
    <x v="2"/>
    <x v="0"/>
    <x v="0"/>
    <x v="0"/>
    <x v="2"/>
    <n v="6.7"/>
    <n v="195"/>
    <n v="0"/>
    <n v="4.4000000000000004"/>
    <n v="4.3"/>
    <n v="23"/>
    <x v="0"/>
  </r>
  <r>
    <x v="33"/>
    <x v="6"/>
    <x v="3"/>
    <x v="2"/>
    <x v="0"/>
    <x v="2"/>
    <x v="1"/>
    <n v="12.8"/>
    <n v="490"/>
    <n v="40"/>
    <n v="4.9000000000000004"/>
    <n v="4.9000000000000004"/>
    <n v="39"/>
    <x v="0"/>
  </r>
  <r>
    <x v="34"/>
    <x v="6"/>
    <x v="4"/>
    <x v="0"/>
    <x v="0"/>
    <x v="0"/>
    <x v="0"/>
    <n v="7.5"/>
    <n v="220"/>
    <n v="15"/>
    <n v="4.7"/>
    <n v="4.5999999999999996"/>
    <n v="25"/>
    <x v="0"/>
  </r>
  <r>
    <x v="35"/>
    <x v="6"/>
    <x v="5"/>
    <x v="1"/>
    <x v="1"/>
    <x v="0"/>
    <x v="1"/>
    <n v="23.6"/>
    <n v="705"/>
    <n v="70"/>
    <n v="4.8"/>
    <n v="4.7"/>
    <n v="54"/>
    <x v="0"/>
  </r>
  <r>
    <x v="36"/>
    <x v="6"/>
    <x v="0"/>
    <x v="0"/>
    <x v="0"/>
    <x v="1"/>
    <x v="0"/>
    <n v="5.3"/>
    <n v="155"/>
    <n v="20"/>
    <n v="4.5"/>
    <n v="4.4000000000000004"/>
    <n v="19"/>
    <x v="0"/>
  </r>
  <r>
    <x v="37"/>
    <x v="6"/>
    <x v="1"/>
    <x v="3"/>
    <x v="0"/>
    <x v="0"/>
    <x v="2"/>
    <n v="4.7"/>
    <n v="110"/>
    <n v="0"/>
    <n v="4.4000000000000004"/>
    <n v="4.2"/>
    <n v="18"/>
    <x v="1"/>
  </r>
  <r>
    <x v="38"/>
    <x v="6"/>
    <x v="2"/>
    <x v="0"/>
    <x v="0"/>
    <x v="2"/>
    <x v="1"/>
    <n v="10.9"/>
    <n v="330"/>
    <n v="25"/>
    <n v="4.8"/>
    <n v="4.7"/>
    <n v="35"/>
    <x v="0"/>
  </r>
  <r>
    <x v="39"/>
    <x v="6"/>
    <x v="6"/>
    <x v="0"/>
    <x v="1"/>
    <x v="0"/>
    <x v="0"/>
    <n v="16.8"/>
    <n v="495"/>
    <n v="50"/>
    <n v="4.7"/>
    <n v="4.5999999999999996"/>
    <n v="40"/>
    <x v="0"/>
  </r>
  <r>
    <x v="40"/>
    <x v="7"/>
    <x v="3"/>
    <x v="3"/>
    <x v="0"/>
    <x v="1"/>
    <x v="0"/>
    <n v="3.9"/>
    <n v="92"/>
    <n v="5"/>
    <n v="4.5"/>
    <n v="4.3"/>
    <n v="15"/>
    <x v="0"/>
  </r>
  <r>
    <x v="41"/>
    <x v="7"/>
    <x v="4"/>
    <x v="2"/>
    <x v="0"/>
    <x v="2"/>
    <x v="1"/>
    <n v="15.2"/>
    <n v="575"/>
    <n v="50"/>
    <n v="4.9000000000000004"/>
    <n v="4.8"/>
    <n v="45"/>
    <x v="0"/>
  </r>
  <r>
    <x v="42"/>
    <x v="7"/>
    <x v="5"/>
    <x v="0"/>
    <x v="0"/>
    <x v="0"/>
    <x v="2"/>
    <n v="8.8000000000000007"/>
    <n v="255"/>
    <n v="0"/>
    <n v="4.5999999999999996"/>
    <n v="4.5"/>
    <n v="28"/>
    <x v="0"/>
  </r>
  <r>
    <x v="43"/>
    <x v="7"/>
    <x v="0"/>
    <x v="0"/>
    <x v="0"/>
    <x v="0"/>
    <x v="0"/>
    <n v="10.1"/>
    <n v="300"/>
    <n v="25"/>
    <n v="4.8"/>
    <n v="4.7"/>
    <n v="33"/>
    <x v="0"/>
  </r>
  <r>
    <x v="44"/>
    <x v="7"/>
    <x v="1"/>
    <x v="1"/>
    <x v="1"/>
    <x v="2"/>
    <x v="1"/>
    <n v="27.4"/>
    <n v="850"/>
    <n v="100"/>
    <n v="4.9000000000000004"/>
    <n v="4.9000000000000004"/>
    <n v="64"/>
    <x v="0"/>
  </r>
  <r>
    <x v="45"/>
    <x v="7"/>
    <x v="2"/>
    <x v="3"/>
    <x v="0"/>
    <x v="1"/>
    <x v="2"/>
    <n v="4.0999999999999996"/>
    <n v="95"/>
    <n v="0"/>
    <n v="4.2"/>
    <n v="4"/>
    <n v="17"/>
    <x v="0"/>
  </r>
  <r>
    <x v="46"/>
    <x v="8"/>
    <x v="3"/>
    <x v="0"/>
    <x v="0"/>
    <x v="0"/>
    <x v="0"/>
    <n v="7.9"/>
    <n v="230"/>
    <n v="20"/>
    <n v="4.7"/>
    <n v="4.5999999999999996"/>
    <n v="26"/>
    <x v="0"/>
  </r>
  <r>
    <x v="47"/>
    <x v="8"/>
    <x v="4"/>
    <x v="1"/>
    <x v="1"/>
    <x v="0"/>
    <x v="1"/>
    <n v="20.5"/>
    <n v="625"/>
    <n v="65"/>
    <n v="4.8"/>
    <n v="4.7"/>
    <n v="49"/>
    <x v="0"/>
  </r>
  <r>
    <x v="48"/>
    <x v="8"/>
    <x v="6"/>
    <x v="3"/>
    <x v="0"/>
    <x v="1"/>
    <x v="0"/>
    <n v="4.8"/>
    <n v="105"/>
    <n v="10"/>
    <n v="4.5999999999999996"/>
    <n v="4.4000000000000004"/>
    <n v="18"/>
    <x v="0"/>
  </r>
  <r>
    <x v="49"/>
    <x v="8"/>
    <x v="5"/>
    <x v="0"/>
    <x v="0"/>
    <x v="0"/>
    <x v="0"/>
    <n v="9.6"/>
    <n v="285"/>
    <n v="25"/>
    <n v="4.7"/>
    <n v="4.5999999999999996"/>
    <n v="3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6B1831-D2D7-4E8A-8B0A-3197D3F04D8A}"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55:D58" firstHeaderRow="1" firstDataRow="1" firstDataCol="1"/>
  <pivotFields count="14">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5"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3"/>
  </rowFields>
  <rowItems count="3">
    <i>
      <x/>
    </i>
    <i>
      <x v="1"/>
    </i>
    <i t="grand">
      <x/>
    </i>
  </rowItems>
  <colItems count="1">
    <i/>
  </colItems>
  <dataFields count="1">
    <dataField name="Count of Ride_ID" fld="0" subtotal="count" baseField="0" baseItem="0"/>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3" count="1" selected="0">
            <x v="0"/>
          </reference>
        </references>
      </pivotArea>
    </chartFormat>
    <chartFormat chart="5" format="2">
      <pivotArea type="data" outline="0" fieldPosition="0">
        <references count="2">
          <reference field="4294967294" count="1" selected="0">
            <x v="0"/>
          </reference>
          <reference field="13"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3" count="1" selected="0">
            <x v="0"/>
          </reference>
        </references>
      </pivotArea>
    </chartFormat>
    <chartFormat chart="9" format="14">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1AC953-0A0E-46C6-905A-5EDFA5C5651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D16" firstHeaderRow="1" firstDataRow="1" firstDataCol="1"/>
  <pivotFields count="14">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5"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Rid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FA1651-FF47-42FB-866A-295360E38960}"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49:D54" firstHeaderRow="1" firstDataRow="1" firstDataCol="1"/>
  <pivotFields count="14">
    <pivotField showAll="0"/>
    <pivotField numFmtId="15"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s>
  <rowFields count="1">
    <field x="3"/>
  </rowFields>
  <rowItems count="5">
    <i>
      <x/>
    </i>
    <i>
      <x v="1"/>
    </i>
    <i>
      <x v="2"/>
    </i>
    <i>
      <x v="3"/>
    </i>
    <i t="grand">
      <x/>
    </i>
  </rowItems>
  <colItems count="1">
    <i/>
  </colItems>
  <dataFields count="1">
    <dataField name="Sum of Customer_Rating" fld="11" baseField="0" baseItem="0"/>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2"/>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3" count="1" selected="0">
            <x v="0"/>
          </reference>
        </references>
      </pivotArea>
    </chartFormat>
    <chartFormat chart="9" format="10">
      <pivotArea type="data" outline="0" fieldPosition="0">
        <references count="2">
          <reference field="4294967294" count="1" selected="0">
            <x v="0"/>
          </reference>
          <reference field="3" count="1" selected="0">
            <x v="1"/>
          </reference>
        </references>
      </pivotArea>
    </chartFormat>
    <chartFormat chart="9" format="11">
      <pivotArea type="data" outline="0" fieldPosition="0">
        <references count="2">
          <reference field="4294967294" count="1" selected="0">
            <x v="0"/>
          </reference>
          <reference field="3" count="1" selected="0">
            <x v="2"/>
          </reference>
        </references>
      </pivotArea>
    </chartFormat>
    <chartFormat chart="9" format="12">
      <pivotArea type="data" outline="0" fieldPosition="0">
        <references count="2">
          <reference field="4294967294" count="1" selected="0">
            <x v="0"/>
          </reference>
          <reference field="3" count="1" selected="0">
            <x v="3"/>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 chart="3"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2B4018-D4F1-4027-A340-BEECCAB219B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3:D47" firstHeaderRow="1" firstDataRow="1" firstDataCol="1"/>
  <pivotFields count="14">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5"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Rid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58AF6B-067E-4242-B263-A27550DAC8E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19:D29" firstHeaderRow="1" firstDataRow="1" firstDataCol="1"/>
  <pivotFields count="14">
    <pivotField showAll="0"/>
    <pivotField axis="axisRow" numFmtId="15" showAll="0">
      <items count="10">
        <item x="0"/>
        <item x="1"/>
        <item x="2"/>
        <item x="3"/>
        <item x="4"/>
        <item x="5"/>
        <item x="6"/>
        <item x="7"/>
        <item x="8"/>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10">
    <i>
      <x/>
    </i>
    <i>
      <x v="1"/>
    </i>
    <i>
      <x v="2"/>
    </i>
    <i>
      <x v="3"/>
    </i>
    <i>
      <x v="4"/>
    </i>
    <i>
      <x v="5"/>
    </i>
    <i>
      <x v="6"/>
    </i>
    <i>
      <x v="7"/>
    </i>
    <i>
      <x v="8"/>
    </i>
    <i t="grand">
      <x/>
    </i>
  </rowItems>
  <colItems count="1">
    <i/>
  </colItems>
  <dataFields count="1">
    <dataField name="Sum of Fare_INR" fld="8" baseField="0" baseItem="0"/>
  </dataFields>
  <chartFormats count="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E40B5E-ACC9-464E-AEDD-2FE8487147D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C2:D10" firstHeaderRow="1" firstDataRow="1" firstDataCol="1"/>
  <pivotFields count="14">
    <pivotField showAll="0"/>
    <pivotField numFmtId="15" showAll="0"/>
    <pivotField axis="axisRow" showAll="0">
      <items count="8">
        <item x="0"/>
        <item x="4"/>
        <item x="2"/>
        <item x="3"/>
        <item x="6"/>
        <item x="1"/>
        <item x="5"/>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Fare_INR" fld="8" baseField="0" baseItem="0"/>
  </dataFields>
  <chartFormats count="3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1" format="6">
      <pivotArea type="data" outline="0" fieldPosition="0">
        <references count="2">
          <reference field="4294967294" count="1" selected="0">
            <x v="0"/>
          </reference>
          <reference field="2" count="1" selected="0">
            <x v="5"/>
          </reference>
        </references>
      </pivotArea>
    </chartFormat>
    <chartFormat chart="1" format="7">
      <pivotArea type="data" outline="0" fieldPosition="0">
        <references count="2">
          <reference field="4294967294" count="1" selected="0">
            <x v="0"/>
          </reference>
          <reference field="2" count="1" selected="0">
            <x v="6"/>
          </reference>
        </references>
      </pivotArea>
    </chartFormat>
    <chartFormat chart="9" format="1" series="1">
      <pivotArea type="data" outline="0" fieldPosition="0">
        <references count="1">
          <reference field="4294967294" count="1" selected="0">
            <x v="0"/>
          </reference>
        </references>
      </pivotArea>
    </chartFormat>
    <chartFormat chart="28" format="25" series="1">
      <pivotArea type="data" outline="0" fieldPosition="0">
        <references count="1">
          <reference field="4294967294" count="1" selected="0">
            <x v="0"/>
          </reference>
        </references>
      </pivotArea>
    </chartFormat>
    <chartFormat chart="28" format="26">
      <pivotArea type="data" outline="0" fieldPosition="0">
        <references count="2">
          <reference field="4294967294" count="1" selected="0">
            <x v="0"/>
          </reference>
          <reference field="2" count="1" selected="0">
            <x v="0"/>
          </reference>
        </references>
      </pivotArea>
    </chartFormat>
    <chartFormat chart="28" format="27">
      <pivotArea type="data" outline="0" fieldPosition="0">
        <references count="2">
          <reference field="4294967294" count="1" selected="0">
            <x v="0"/>
          </reference>
          <reference field="2" count="1" selected="0">
            <x v="1"/>
          </reference>
        </references>
      </pivotArea>
    </chartFormat>
    <chartFormat chart="28" format="28">
      <pivotArea type="data" outline="0" fieldPosition="0">
        <references count="2">
          <reference field="4294967294" count="1" selected="0">
            <x v="0"/>
          </reference>
          <reference field="2" count="1" selected="0">
            <x v="2"/>
          </reference>
        </references>
      </pivotArea>
    </chartFormat>
    <chartFormat chart="28" format="29">
      <pivotArea type="data" outline="0" fieldPosition="0">
        <references count="2">
          <reference field="4294967294" count="1" selected="0">
            <x v="0"/>
          </reference>
          <reference field="2" count="1" selected="0">
            <x v="3"/>
          </reference>
        </references>
      </pivotArea>
    </chartFormat>
    <chartFormat chart="28" format="30">
      <pivotArea type="data" outline="0" fieldPosition="0">
        <references count="2">
          <reference field="4294967294" count="1" selected="0">
            <x v="0"/>
          </reference>
          <reference field="2" count="1" selected="0">
            <x v="4"/>
          </reference>
        </references>
      </pivotArea>
    </chartFormat>
    <chartFormat chart="28" format="31">
      <pivotArea type="data" outline="0" fieldPosition="0">
        <references count="2">
          <reference field="4294967294" count="1" selected="0">
            <x v="0"/>
          </reference>
          <reference field="2" count="1" selected="0">
            <x v="5"/>
          </reference>
        </references>
      </pivotArea>
    </chartFormat>
    <chartFormat chart="28" format="32">
      <pivotArea type="data" outline="0" fieldPosition="0">
        <references count="2">
          <reference field="4294967294" count="1" selected="0">
            <x v="0"/>
          </reference>
          <reference field="2" count="1" selected="0">
            <x v="6"/>
          </reference>
        </references>
      </pivotArea>
    </chartFormat>
    <chartFormat chart="30" format="32" series="1">
      <pivotArea type="data" outline="0" fieldPosition="0">
        <references count="1">
          <reference field="4294967294" count="1" selected="0">
            <x v="0"/>
          </reference>
        </references>
      </pivotArea>
    </chartFormat>
    <chartFormat chart="30" format="33">
      <pivotArea type="data" outline="0" fieldPosition="0">
        <references count="2">
          <reference field="4294967294" count="1" selected="0">
            <x v="0"/>
          </reference>
          <reference field="2" count="1" selected="0">
            <x v="0"/>
          </reference>
        </references>
      </pivotArea>
    </chartFormat>
    <chartFormat chart="30" format="34">
      <pivotArea type="data" outline="0" fieldPosition="0">
        <references count="2">
          <reference field="4294967294" count="1" selected="0">
            <x v="0"/>
          </reference>
          <reference field="2" count="1" selected="0">
            <x v="1"/>
          </reference>
        </references>
      </pivotArea>
    </chartFormat>
    <chartFormat chart="30" format="35">
      <pivotArea type="data" outline="0" fieldPosition="0">
        <references count="2">
          <reference field="4294967294" count="1" selected="0">
            <x v="0"/>
          </reference>
          <reference field="2" count="1" selected="0">
            <x v="2"/>
          </reference>
        </references>
      </pivotArea>
    </chartFormat>
    <chartFormat chart="30" format="36">
      <pivotArea type="data" outline="0" fieldPosition="0">
        <references count="2">
          <reference field="4294967294" count="1" selected="0">
            <x v="0"/>
          </reference>
          <reference field="2" count="1" selected="0">
            <x v="3"/>
          </reference>
        </references>
      </pivotArea>
    </chartFormat>
    <chartFormat chart="30" format="37">
      <pivotArea type="data" outline="0" fieldPosition="0">
        <references count="2">
          <reference field="4294967294" count="1" selected="0">
            <x v="0"/>
          </reference>
          <reference field="2" count="1" selected="0">
            <x v="4"/>
          </reference>
        </references>
      </pivotArea>
    </chartFormat>
    <chartFormat chart="30" format="38">
      <pivotArea type="data" outline="0" fieldPosition="0">
        <references count="2">
          <reference field="4294967294" count="1" selected="0">
            <x v="0"/>
          </reference>
          <reference field="2" count="1" selected="0">
            <x v="5"/>
          </reference>
        </references>
      </pivotArea>
    </chartFormat>
    <chartFormat chart="30" format="39">
      <pivotArea type="data" outline="0" fieldPosition="0">
        <references count="2">
          <reference field="4294967294" count="1" selected="0">
            <x v="0"/>
          </reference>
          <reference field="2" count="1" selected="0">
            <x v="6"/>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40ADF4-EE2E-4DB6-AC27-0BA2E105DB9B}"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38:D41" firstHeaderRow="1" firstDataRow="1" firstDataCol="1"/>
  <pivotFields count="14">
    <pivotField showAll="0"/>
    <pivotField numFmtId="15" showAll="0"/>
    <pivotField showAll="0"/>
    <pivotField showAll="0"/>
    <pivotField axis="axisRow" showAll="0">
      <items count="3">
        <item x="1"/>
        <item x="0"/>
        <item t="default"/>
      </items>
    </pivotField>
    <pivotField showAll="0"/>
    <pivotField showAll="0"/>
    <pivotField showAll="0"/>
    <pivotField dataField="1" showAll="0"/>
    <pivotField showAll="0"/>
    <pivotField showAll="0"/>
    <pivotField showAll="0"/>
    <pivotField showAll="0"/>
    <pivotField showAll="0"/>
  </pivotFields>
  <rowFields count="1">
    <field x="4"/>
  </rowFields>
  <rowItems count="3">
    <i>
      <x/>
    </i>
    <i>
      <x v="1"/>
    </i>
    <i t="grand">
      <x/>
    </i>
  </rowItems>
  <colItems count="1">
    <i/>
  </colItems>
  <dataFields count="1">
    <dataField name="Sum of Fare_INR" fld="8"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C3AFCE-FA7C-492A-B89E-4E51BCD0C3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P3:Q5" firstHeaderRow="1" firstDataRow="1" firstDataCol="1"/>
  <pivotFields count="14">
    <pivotField showAll="0"/>
    <pivotField numFmtId="15" showAll="0"/>
    <pivotField axis="axisRow" showAll="0">
      <items count="8">
        <item h="1" x="0"/>
        <item h="1" x="4"/>
        <item h="1" x="2"/>
        <item x="3"/>
        <item h="1" x="6"/>
        <item h="1" x="1"/>
        <item h="1" x="5"/>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2">
    <i>
      <x v="3"/>
    </i>
    <i t="grand">
      <x/>
    </i>
  </rowItems>
  <colItems count="1">
    <i/>
  </colItems>
  <dataFields count="1">
    <dataField name="Sum of Fare_INR" fld="8" baseField="0" baseItem="0"/>
  </dataFields>
  <chartFormats count="1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1" format="6">
      <pivotArea type="data" outline="0" fieldPosition="0">
        <references count="2">
          <reference field="4294967294" count="1" selected="0">
            <x v="0"/>
          </reference>
          <reference field="2" count="1" selected="0">
            <x v="5"/>
          </reference>
        </references>
      </pivotArea>
    </chartFormat>
    <chartFormat chart="1" format="7">
      <pivotArea type="data" outline="0" fieldPosition="0">
        <references count="2">
          <reference field="4294967294" count="1" selected="0">
            <x v="0"/>
          </reference>
          <reference field="2" count="1" selected="0">
            <x v="6"/>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0CF503-F8E3-44D5-A3BD-EEE77E5A208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2:D36" firstHeaderRow="1" firstDataRow="1" firstDataCol="1"/>
  <pivotFields count="14">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5"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Rid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77667B1-4328-45F2-8D87-E5E17254DFB5}" sourceName="City">
  <pivotTables>
    <pivotTable tabId="2" name="PivotTable1"/>
  </pivotTables>
  <data>
    <tabular pivotCacheId="879415756">
      <items count="7">
        <i x="0"/>
        <i x="4"/>
        <i x="2"/>
        <i x="3" s="1"/>
        <i x="6"/>
        <i x="1"/>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0E5AE52-D36C-4957-8430-24DD4D327D5C}" cache="Slicer_City" caption="Cit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305869-1CF5-4E1A-BF2E-B72C6E576310}" name="Table1" displayName="Table1" ref="A1:N51" totalsRowShown="0" headerRowDxfId="15" dataDxfId="14">
  <autoFilter ref="A1:N51" xr:uid="{C7305869-1CF5-4E1A-BF2E-B72C6E576310}"/>
  <tableColumns count="14">
    <tableColumn id="1" xr3:uid="{799395DD-ADC7-4DD7-A4F3-13FED6CF9DA2}" name="Ride_ID" dataDxfId="13"/>
    <tableColumn id="2" xr3:uid="{1FE2B2BB-5070-4F8E-A048-28947F3525E7}" name="Date" dataDxfId="12"/>
    <tableColumn id="3" xr3:uid="{8D77354F-0386-45F0-AF76-4A8621282D5E}" name="City" dataDxfId="11"/>
    <tableColumn id="4" xr3:uid="{2DF4CFFE-C0CF-4E14-9B8B-20345A3ABFA5}" name="Vehicle_Type" dataDxfId="10"/>
    <tableColumn id="5" xr3:uid="{7E9678CB-6A47-4C8E-9256-3F5280E43DEF}" name="Trip_Type" dataDxfId="9"/>
    <tableColumn id="6" xr3:uid="{EB797C89-D13C-4F07-B115-B56A4608CD06}" name="Customer_Type" dataDxfId="8"/>
    <tableColumn id="7" xr3:uid="{8427EAAC-994E-4D79-9925-3672EE165851}" name="Payment_Mode" dataDxfId="7"/>
    <tableColumn id="8" xr3:uid="{A90FE906-A8D6-4CDE-B711-780F4A074331}" name="Distance_KM" dataDxfId="6"/>
    <tableColumn id="9" xr3:uid="{9065403F-97EB-4219-9133-5CCCDC07ED17}" name="Fare_INR" dataDxfId="5"/>
    <tableColumn id="10" xr3:uid="{761D5139-3938-48F4-88AA-33F7661A5A38}" name="Discount_INR" dataDxfId="4"/>
    <tableColumn id="11" xr3:uid="{2D07ED91-AFB6-4AD1-9133-D1555E213098}" name="Driver_Rating" dataDxfId="3"/>
    <tableColumn id="12" xr3:uid="{A5CFEF8C-FBF3-45AB-BD5C-B0696D39747E}" name="Customer_Rating" dataDxfId="2"/>
    <tableColumn id="13" xr3:uid="{2ADFF76C-6CAB-4B37-9545-4B2B9E653033}" name="Trip_Duration_Min" dataDxfId="1"/>
    <tableColumn id="14" xr3:uid="{50236FFD-C340-44B7-90E5-78A7D371C406}" name="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C497-0E56-43AE-8C5B-AD63BA2131E1}">
  <dimension ref="A1:N51"/>
  <sheetViews>
    <sheetView zoomScale="78" zoomScaleNormal="100" workbookViewId="0">
      <selection activeCell="B2" sqref="B2"/>
    </sheetView>
  </sheetViews>
  <sheetFormatPr defaultRowHeight="14.4" x14ac:dyDescent="0.3"/>
  <cols>
    <col min="1" max="1" width="9.21875" customWidth="1"/>
    <col min="2" max="2" width="13.6640625" customWidth="1"/>
    <col min="4" max="4" width="13.77734375" customWidth="1"/>
    <col min="5" max="5" width="10.77734375" customWidth="1"/>
    <col min="6" max="6" width="15.6640625" customWidth="1"/>
    <col min="7" max="7" width="15.5546875" customWidth="1"/>
    <col min="8" max="8" width="13.5546875" customWidth="1"/>
    <col min="9" max="9" width="10.33203125" customWidth="1"/>
    <col min="10" max="10" width="14" customWidth="1"/>
    <col min="11" max="11" width="13.88671875" customWidth="1"/>
    <col min="12" max="12" width="17" customWidth="1"/>
    <col min="13" max="13" width="17.77734375" customWidth="1"/>
    <col min="14" max="14" width="11.88671875" customWidth="1"/>
  </cols>
  <sheetData>
    <row r="1" spans="1:14" ht="28.8" x14ac:dyDescent="0.3">
      <c r="A1" s="1" t="s">
        <v>0</v>
      </c>
      <c r="B1" s="1" t="s">
        <v>1</v>
      </c>
      <c r="C1" s="1" t="s">
        <v>2</v>
      </c>
      <c r="D1" s="1" t="s">
        <v>3</v>
      </c>
      <c r="E1" s="1" t="s">
        <v>4</v>
      </c>
      <c r="F1" s="1" t="s">
        <v>5</v>
      </c>
      <c r="G1" s="1" t="s">
        <v>6</v>
      </c>
      <c r="H1" s="3" t="s">
        <v>7</v>
      </c>
      <c r="I1" s="3" t="s">
        <v>8</v>
      </c>
      <c r="J1" s="3" t="s">
        <v>9</v>
      </c>
      <c r="K1" s="3" t="s">
        <v>10</v>
      </c>
      <c r="L1" s="3" t="s">
        <v>11</v>
      </c>
      <c r="M1" s="3" t="s">
        <v>12</v>
      </c>
      <c r="N1" s="1" t="s">
        <v>13</v>
      </c>
    </row>
    <row r="2" spans="1:14" ht="28.8" x14ac:dyDescent="0.3">
      <c r="A2" s="4" t="s">
        <v>14</v>
      </c>
      <c r="B2" s="5">
        <v>46235</v>
      </c>
      <c r="C2" s="4" t="s">
        <v>15</v>
      </c>
      <c r="D2" s="4" t="s">
        <v>16</v>
      </c>
      <c r="E2" s="4" t="s">
        <v>2</v>
      </c>
      <c r="F2" s="4" t="s">
        <v>17</v>
      </c>
      <c r="G2" s="4" t="s">
        <v>18</v>
      </c>
      <c r="H2" s="2">
        <v>8.5</v>
      </c>
      <c r="I2" s="2">
        <v>245</v>
      </c>
      <c r="J2" s="2">
        <v>20</v>
      </c>
      <c r="K2" s="2">
        <v>4.8</v>
      </c>
      <c r="L2" s="2">
        <v>4.7</v>
      </c>
      <c r="M2" s="2">
        <v>28</v>
      </c>
      <c r="N2" s="4" t="s">
        <v>19</v>
      </c>
    </row>
    <row r="3" spans="1:14" ht="28.8" x14ac:dyDescent="0.3">
      <c r="A3" s="4" t="s">
        <v>20</v>
      </c>
      <c r="B3" s="5">
        <v>46235</v>
      </c>
      <c r="C3" s="4" t="s">
        <v>21</v>
      </c>
      <c r="D3" s="4" t="s">
        <v>16</v>
      </c>
      <c r="E3" s="4" t="s">
        <v>2</v>
      </c>
      <c r="F3" s="4" t="s">
        <v>22</v>
      </c>
      <c r="G3" s="4" t="s">
        <v>23</v>
      </c>
      <c r="H3" s="2">
        <v>12.2</v>
      </c>
      <c r="I3" s="2">
        <v>385</v>
      </c>
      <c r="J3" s="2">
        <v>50</v>
      </c>
      <c r="K3" s="2">
        <v>4.5999999999999996</v>
      </c>
      <c r="L3" s="2">
        <v>4.5</v>
      </c>
      <c r="M3" s="2">
        <v>41</v>
      </c>
      <c r="N3" s="4" t="s">
        <v>19</v>
      </c>
    </row>
    <row r="4" spans="1:14" ht="28.8" x14ac:dyDescent="0.3">
      <c r="A4" s="4" t="s">
        <v>24</v>
      </c>
      <c r="B4" s="5">
        <v>46235</v>
      </c>
      <c r="C4" s="4" t="s">
        <v>25</v>
      </c>
      <c r="D4" s="4" t="s">
        <v>26</v>
      </c>
      <c r="E4" s="4" t="s">
        <v>27</v>
      </c>
      <c r="F4" s="4" t="s">
        <v>17</v>
      </c>
      <c r="G4" s="4" t="s">
        <v>18</v>
      </c>
      <c r="H4" s="2">
        <v>24.5</v>
      </c>
      <c r="I4" s="2">
        <v>720</v>
      </c>
      <c r="J4" s="2">
        <v>80</v>
      </c>
      <c r="K4" s="2">
        <v>4.9000000000000004</v>
      </c>
      <c r="L4" s="2">
        <v>4.8</v>
      </c>
      <c r="M4" s="2">
        <v>55</v>
      </c>
      <c r="N4" s="4" t="s">
        <v>19</v>
      </c>
    </row>
    <row r="5" spans="1:14" ht="28.8" x14ac:dyDescent="0.3">
      <c r="A5" s="4" t="s">
        <v>28</v>
      </c>
      <c r="B5" s="5">
        <v>46235</v>
      </c>
      <c r="C5" s="4" t="s">
        <v>29</v>
      </c>
      <c r="D5" s="4" t="s">
        <v>16</v>
      </c>
      <c r="E5" s="4" t="s">
        <v>2</v>
      </c>
      <c r="F5" s="4" t="s">
        <v>17</v>
      </c>
      <c r="G5" s="4" t="s">
        <v>30</v>
      </c>
      <c r="H5" s="2">
        <v>6.8</v>
      </c>
      <c r="I5" s="2">
        <v>190</v>
      </c>
      <c r="J5" s="2">
        <v>0</v>
      </c>
      <c r="K5" s="2">
        <v>4.5</v>
      </c>
      <c r="L5" s="2">
        <v>4.5999999999999996</v>
      </c>
      <c r="M5" s="2">
        <v>22</v>
      </c>
      <c r="N5" s="4" t="s">
        <v>19</v>
      </c>
    </row>
    <row r="6" spans="1:14" ht="28.8" x14ac:dyDescent="0.3">
      <c r="A6" s="4" t="s">
        <v>31</v>
      </c>
      <c r="B6" s="5">
        <v>46235</v>
      </c>
      <c r="C6" s="4" t="s">
        <v>32</v>
      </c>
      <c r="D6" s="4" t="s">
        <v>33</v>
      </c>
      <c r="E6" s="4" t="s">
        <v>2</v>
      </c>
      <c r="F6" s="4" t="s">
        <v>34</v>
      </c>
      <c r="G6" s="4" t="s">
        <v>23</v>
      </c>
      <c r="H6" s="2">
        <v>10.4</v>
      </c>
      <c r="I6" s="2">
        <v>410</v>
      </c>
      <c r="J6" s="2">
        <v>30</v>
      </c>
      <c r="K6" s="2">
        <v>4.9000000000000004</v>
      </c>
      <c r="L6" s="2">
        <v>4.9000000000000004</v>
      </c>
      <c r="M6" s="2">
        <v>35</v>
      </c>
      <c r="N6" s="4" t="s">
        <v>19</v>
      </c>
    </row>
    <row r="7" spans="1:14" ht="28.8" x14ac:dyDescent="0.3">
      <c r="A7" s="4" t="s">
        <v>35</v>
      </c>
      <c r="B7" s="5">
        <v>46236</v>
      </c>
      <c r="C7" s="4" t="s">
        <v>36</v>
      </c>
      <c r="D7" s="4" t="s">
        <v>16</v>
      </c>
      <c r="E7" s="4" t="s">
        <v>2</v>
      </c>
      <c r="F7" s="4" t="s">
        <v>22</v>
      </c>
      <c r="G7" s="4" t="s">
        <v>18</v>
      </c>
      <c r="H7" s="2">
        <v>7.2</v>
      </c>
      <c r="I7" s="2">
        <v>215</v>
      </c>
      <c r="J7" s="2">
        <v>25</v>
      </c>
      <c r="K7" s="2">
        <v>4.7</v>
      </c>
      <c r="L7" s="2">
        <v>4.4000000000000004</v>
      </c>
      <c r="M7" s="2">
        <v>25</v>
      </c>
      <c r="N7" s="4" t="s">
        <v>19</v>
      </c>
    </row>
    <row r="8" spans="1:14" ht="28.8" x14ac:dyDescent="0.3">
      <c r="A8" s="4" t="s">
        <v>37</v>
      </c>
      <c r="B8" s="5">
        <v>46236</v>
      </c>
      <c r="C8" s="4" t="s">
        <v>15</v>
      </c>
      <c r="D8" s="4" t="s">
        <v>38</v>
      </c>
      <c r="E8" s="4" t="s">
        <v>2</v>
      </c>
      <c r="F8" s="4" t="s">
        <v>17</v>
      </c>
      <c r="G8" s="4" t="s">
        <v>18</v>
      </c>
      <c r="H8" s="2">
        <v>4.5</v>
      </c>
      <c r="I8" s="2">
        <v>105</v>
      </c>
      <c r="J8" s="2">
        <v>10</v>
      </c>
      <c r="K8" s="2">
        <v>4.5999999999999996</v>
      </c>
      <c r="L8" s="2">
        <v>4.5</v>
      </c>
      <c r="M8" s="2">
        <v>18</v>
      </c>
      <c r="N8" s="4" t="s">
        <v>19</v>
      </c>
    </row>
    <row r="9" spans="1:14" ht="28.8" x14ac:dyDescent="0.3">
      <c r="A9" s="4" t="s">
        <v>39</v>
      </c>
      <c r="B9" s="5">
        <v>46236</v>
      </c>
      <c r="C9" s="4" t="s">
        <v>21</v>
      </c>
      <c r="D9" s="4" t="s">
        <v>26</v>
      </c>
      <c r="E9" s="4" t="s">
        <v>27</v>
      </c>
      <c r="F9" s="4" t="s">
        <v>34</v>
      </c>
      <c r="G9" s="4" t="s">
        <v>23</v>
      </c>
      <c r="H9" s="2">
        <v>28.7</v>
      </c>
      <c r="I9" s="2">
        <v>890</v>
      </c>
      <c r="J9" s="2">
        <v>100</v>
      </c>
      <c r="K9" s="2">
        <v>4.8</v>
      </c>
      <c r="L9" s="2">
        <v>4.9000000000000004</v>
      </c>
      <c r="M9" s="2">
        <v>67</v>
      </c>
      <c r="N9" s="4" t="s">
        <v>19</v>
      </c>
    </row>
    <row r="10" spans="1:14" ht="28.8" x14ac:dyDescent="0.3">
      <c r="A10" s="4" t="s">
        <v>40</v>
      </c>
      <c r="B10" s="5">
        <v>46236</v>
      </c>
      <c r="C10" s="4" t="s">
        <v>25</v>
      </c>
      <c r="D10" s="4" t="s">
        <v>16</v>
      </c>
      <c r="E10" s="4" t="s">
        <v>2</v>
      </c>
      <c r="F10" s="4" t="s">
        <v>17</v>
      </c>
      <c r="G10" s="4" t="s">
        <v>30</v>
      </c>
      <c r="H10" s="2">
        <v>9.8000000000000007</v>
      </c>
      <c r="I10" s="2">
        <v>290</v>
      </c>
      <c r="J10" s="2">
        <v>0</v>
      </c>
      <c r="K10" s="2">
        <v>4.4000000000000004</v>
      </c>
      <c r="L10" s="2">
        <v>4.2</v>
      </c>
      <c r="M10" s="2">
        <v>31</v>
      </c>
      <c r="N10" s="4" t="s">
        <v>19</v>
      </c>
    </row>
    <row r="11" spans="1:14" ht="28.8" x14ac:dyDescent="0.3">
      <c r="A11" s="4" t="s">
        <v>41</v>
      </c>
      <c r="B11" s="5">
        <v>46236</v>
      </c>
      <c r="C11" s="4" t="s">
        <v>42</v>
      </c>
      <c r="D11" s="4" t="s">
        <v>16</v>
      </c>
      <c r="E11" s="4" t="s">
        <v>27</v>
      </c>
      <c r="F11" s="4" t="s">
        <v>22</v>
      </c>
      <c r="G11" s="4" t="s">
        <v>18</v>
      </c>
      <c r="H11" s="2">
        <v>18.5</v>
      </c>
      <c r="I11" s="2">
        <v>540</v>
      </c>
      <c r="J11" s="2">
        <v>60</v>
      </c>
      <c r="K11" s="2">
        <v>4.7</v>
      </c>
      <c r="L11" s="2">
        <v>4.5999999999999996</v>
      </c>
      <c r="M11" s="2">
        <v>44</v>
      </c>
      <c r="N11" s="4" t="s">
        <v>19</v>
      </c>
    </row>
    <row r="12" spans="1:14" ht="28.8" x14ac:dyDescent="0.3">
      <c r="A12" s="4" t="s">
        <v>43</v>
      </c>
      <c r="B12" s="5">
        <v>46237</v>
      </c>
      <c r="C12" s="4" t="s">
        <v>15</v>
      </c>
      <c r="D12" s="4" t="s">
        <v>33</v>
      </c>
      <c r="E12" s="4" t="s">
        <v>2</v>
      </c>
      <c r="F12" s="4" t="s">
        <v>34</v>
      </c>
      <c r="G12" s="4" t="s">
        <v>23</v>
      </c>
      <c r="H12" s="2">
        <v>14.2</v>
      </c>
      <c r="I12" s="2">
        <v>560</v>
      </c>
      <c r="J12" s="2">
        <v>40</v>
      </c>
      <c r="K12" s="2">
        <v>4.9000000000000004</v>
      </c>
      <c r="L12" s="2">
        <v>4.8</v>
      </c>
      <c r="M12" s="2">
        <v>43</v>
      </c>
      <c r="N12" s="4" t="s">
        <v>19</v>
      </c>
    </row>
    <row r="13" spans="1:14" ht="28.8" x14ac:dyDescent="0.3">
      <c r="A13" s="4" t="s">
        <v>44</v>
      </c>
      <c r="B13" s="5">
        <v>46237</v>
      </c>
      <c r="C13" s="4" t="s">
        <v>21</v>
      </c>
      <c r="D13" s="4" t="s">
        <v>16</v>
      </c>
      <c r="E13" s="4" t="s">
        <v>2</v>
      </c>
      <c r="F13" s="4" t="s">
        <v>17</v>
      </c>
      <c r="G13" s="4" t="s">
        <v>18</v>
      </c>
      <c r="H13" s="2">
        <v>5.7</v>
      </c>
      <c r="I13" s="2">
        <v>175</v>
      </c>
      <c r="J13" s="2">
        <v>15</v>
      </c>
      <c r="K13" s="2">
        <v>4.5999999999999996</v>
      </c>
      <c r="L13" s="2">
        <v>4.7</v>
      </c>
      <c r="M13" s="2">
        <v>20</v>
      </c>
      <c r="N13" s="4" t="s">
        <v>19</v>
      </c>
    </row>
    <row r="14" spans="1:14" ht="28.8" x14ac:dyDescent="0.3">
      <c r="A14" s="4" t="s">
        <v>45</v>
      </c>
      <c r="B14" s="5">
        <v>46237</v>
      </c>
      <c r="C14" s="4" t="s">
        <v>25</v>
      </c>
      <c r="D14" s="4" t="s">
        <v>38</v>
      </c>
      <c r="E14" s="4" t="s">
        <v>2</v>
      </c>
      <c r="F14" s="4" t="s">
        <v>22</v>
      </c>
      <c r="G14" s="4" t="s">
        <v>30</v>
      </c>
      <c r="H14" s="2">
        <v>3.8</v>
      </c>
      <c r="I14" s="2">
        <v>90</v>
      </c>
      <c r="J14" s="2">
        <v>0</v>
      </c>
      <c r="K14" s="2">
        <v>4.3</v>
      </c>
      <c r="L14" s="2">
        <v>4.0999999999999996</v>
      </c>
      <c r="M14" s="2">
        <v>16</v>
      </c>
      <c r="N14" s="4" t="s">
        <v>19</v>
      </c>
    </row>
    <row r="15" spans="1:14" ht="28.8" x14ac:dyDescent="0.3">
      <c r="A15" s="4" t="s">
        <v>46</v>
      </c>
      <c r="B15" s="5">
        <v>46237</v>
      </c>
      <c r="C15" s="4" t="s">
        <v>29</v>
      </c>
      <c r="D15" s="4" t="s">
        <v>26</v>
      </c>
      <c r="E15" s="4" t="s">
        <v>27</v>
      </c>
      <c r="F15" s="4" t="s">
        <v>17</v>
      </c>
      <c r="G15" s="4" t="s">
        <v>23</v>
      </c>
      <c r="H15" s="2">
        <v>22.4</v>
      </c>
      <c r="I15" s="2">
        <v>680</v>
      </c>
      <c r="J15" s="2">
        <v>70</v>
      </c>
      <c r="K15" s="2">
        <v>4.8</v>
      </c>
      <c r="L15" s="2">
        <v>4.7</v>
      </c>
      <c r="M15" s="2">
        <v>52</v>
      </c>
      <c r="N15" s="4" t="s">
        <v>19</v>
      </c>
    </row>
    <row r="16" spans="1:14" x14ac:dyDescent="0.3">
      <c r="A16" s="4" t="s">
        <v>47</v>
      </c>
      <c r="B16" s="5">
        <v>46237</v>
      </c>
      <c r="C16" s="4" t="s">
        <v>32</v>
      </c>
      <c r="D16" s="4" t="s">
        <v>16</v>
      </c>
      <c r="E16" s="4" t="s">
        <v>2</v>
      </c>
      <c r="F16" s="4" t="s">
        <v>17</v>
      </c>
      <c r="G16" s="4" t="s">
        <v>18</v>
      </c>
      <c r="H16" s="2">
        <v>8.9</v>
      </c>
      <c r="I16" s="2">
        <v>260</v>
      </c>
      <c r="J16" s="2">
        <v>20</v>
      </c>
      <c r="K16" s="2">
        <v>4.7</v>
      </c>
      <c r="L16" s="2">
        <v>4.5999999999999996</v>
      </c>
      <c r="M16" s="2">
        <v>29</v>
      </c>
      <c r="N16" s="4" t="s">
        <v>19</v>
      </c>
    </row>
    <row r="17" spans="1:14" x14ac:dyDescent="0.3">
      <c r="A17" s="4" t="s">
        <v>48</v>
      </c>
      <c r="B17" s="5">
        <v>46237</v>
      </c>
      <c r="C17" s="4" t="s">
        <v>36</v>
      </c>
      <c r="D17" s="4" t="s">
        <v>33</v>
      </c>
      <c r="E17" s="4" t="s">
        <v>2</v>
      </c>
      <c r="F17" s="4" t="s">
        <v>34</v>
      </c>
      <c r="G17" s="4" t="s">
        <v>23</v>
      </c>
      <c r="H17" s="2">
        <v>11.5</v>
      </c>
      <c r="I17" s="2">
        <v>450</v>
      </c>
      <c r="J17" s="2">
        <v>35</v>
      </c>
      <c r="K17" s="2">
        <v>4.9000000000000004</v>
      </c>
      <c r="L17" s="2">
        <v>4.9000000000000004</v>
      </c>
      <c r="M17" s="2">
        <v>37</v>
      </c>
      <c r="N17" s="4" t="s">
        <v>19</v>
      </c>
    </row>
    <row r="18" spans="1:14" ht="28.8" x14ac:dyDescent="0.3">
      <c r="A18" s="4" t="s">
        <v>49</v>
      </c>
      <c r="B18" s="5">
        <v>46238</v>
      </c>
      <c r="C18" s="4" t="s">
        <v>15</v>
      </c>
      <c r="D18" s="4" t="s">
        <v>16</v>
      </c>
      <c r="E18" s="4" t="s">
        <v>2</v>
      </c>
      <c r="F18" s="4" t="s">
        <v>22</v>
      </c>
      <c r="G18" s="4" t="s">
        <v>18</v>
      </c>
      <c r="H18" s="2">
        <v>6.4</v>
      </c>
      <c r="I18" s="2">
        <v>185</v>
      </c>
      <c r="J18" s="2">
        <v>20</v>
      </c>
      <c r="K18" s="2">
        <v>4.5</v>
      </c>
      <c r="L18" s="2">
        <v>4.3</v>
      </c>
      <c r="M18" s="2">
        <v>23</v>
      </c>
      <c r="N18" s="4" t="s">
        <v>50</v>
      </c>
    </row>
    <row r="19" spans="1:14" x14ac:dyDescent="0.3">
      <c r="A19" s="4" t="s">
        <v>51</v>
      </c>
      <c r="B19" s="5">
        <v>46238</v>
      </c>
      <c r="C19" s="4" t="s">
        <v>21</v>
      </c>
      <c r="D19" s="4" t="s">
        <v>16</v>
      </c>
      <c r="E19" s="4" t="s">
        <v>2</v>
      </c>
      <c r="F19" s="4" t="s">
        <v>17</v>
      </c>
      <c r="G19" s="4" t="s">
        <v>30</v>
      </c>
      <c r="H19" s="2">
        <v>10.6</v>
      </c>
      <c r="I19" s="2">
        <v>320</v>
      </c>
      <c r="J19" s="2">
        <v>0</v>
      </c>
      <c r="K19" s="2">
        <v>4.7</v>
      </c>
      <c r="L19" s="2">
        <v>4.5</v>
      </c>
      <c r="M19" s="2">
        <v>34</v>
      </c>
      <c r="N19" s="4" t="s">
        <v>19</v>
      </c>
    </row>
    <row r="20" spans="1:14" x14ac:dyDescent="0.3">
      <c r="A20" s="4" t="s">
        <v>52</v>
      </c>
      <c r="B20" s="5">
        <v>46238</v>
      </c>
      <c r="C20" s="4" t="s">
        <v>25</v>
      </c>
      <c r="D20" s="4" t="s">
        <v>33</v>
      </c>
      <c r="E20" s="4" t="s">
        <v>27</v>
      </c>
      <c r="F20" s="4" t="s">
        <v>34</v>
      </c>
      <c r="G20" s="4" t="s">
        <v>23</v>
      </c>
      <c r="H20" s="2">
        <v>26.3</v>
      </c>
      <c r="I20" s="2">
        <v>840</v>
      </c>
      <c r="J20" s="2">
        <v>90</v>
      </c>
      <c r="K20" s="2">
        <v>4.9000000000000004</v>
      </c>
      <c r="L20" s="2">
        <v>4.8</v>
      </c>
      <c r="M20" s="2">
        <v>61</v>
      </c>
      <c r="N20" s="4" t="s">
        <v>19</v>
      </c>
    </row>
    <row r="21" spans="1:14" x14ac:dyDescent="0.3">
      <c r="A21" s="4" t="s">
        <v>53</v>
      </c>
      <c r="B21" s="5">
        <v>46238</v>
      </c>
      <c r="C21" s="4" t="s">
        <v>42</v>
      </c>
      <c r="D21" s="4" t="s">
        <v>38</v>
      </c>
      <c r="E21" s="4" t="s">
        <v>2</v>
      </c>
      <c r="F21" s="4" t="s">
        <v>17</v>
      </c>
      <c r="G21" s="4" t="s">
        <v>18</v>
      </c>
      <c r="H21" s="2">
        <v>5.0999999999999996</v>
      </c>
      <c r="I21" s="2">
        <v>115</v>
      </c>
      <c r="J21" s="2">
        <v>10</v>
      </c>
      <c r="K21" s="2">
        <v>4.5</v>
      </c>
      <c r="L21" s="2">
        <v>4.4000000000000004</v>
      </c>
      <c r="M21" s="2">
        <v>19</v>
      </c>
      <c r="N21" s="4" t="s">
        <v>19</v>
      </c>
    </row>
    <row r="22" spans="1:14" ht="28.8" x14ac:dyDescent="0.3">
      <c r="A22" s="4" t="s">
        <v>54</v>
      </c>
      <c r="B22" s="5">
        <v>46238</v>
      </c>
      <c r="C22" s="4" t="s">
        <v>29</v>
      </c>
      <c r="D22" s="4" t="s">
        <v>16</v>
      </c>
      <c r="E22" s="4" t="s">
        <v>2</v>
      </c>
      <c r="F22" s="4" t="s">
        <v>17</v>
      </c>
      <c r="G22" s="4" t="s">
        <v>18</v>
      </c>
      <c r="H22" s="2">
        <v>9.3000000000000007</v>
      </c>
      <c r="I22" s="2">
        <v>275</v>
      </c>
      <c r="J22" s="2">
        <v>25</v>
      </c>
      <c r="K22" s="2">
        <v>4.5999999999999996</v>
      </c>
      <c r="L22" s="2">
        <v>4.7</v>
      </c>
      <c r="M22" s="2">
        <v>30</v>
      </c>
      <c r="N22" s="4" t="s">
        <v>19</v>
      </c>
    </row>
    <row r="23" spans="1:14" x14ac:dyDescent="0.3">
      <c r="A23" s="4" t="s">
        <v>55</v>
      </c>
      <c r="B23" s="5">
        <v>46238</v>
      </c>
      <c r="C23" s="4" t="s">
        <v>32</v>
      </c>
      <c r="D23" s="4" t="s">
        <v>26</v>
      </c>
      <c r="E23" s="4" t="s">
        <v>27</v>
      </c>
      <c r="F23" s="4" t="s">
        <v>22</v>
      </c>
      <c r="G23" s="4" t="s">
        <v>23</v>
      </c>
      <c r="H23" s="2">
        <v>21.8</v>
      </c>
      <c r="I23" s="2">
        <v>650</v>
      </c>
      <c r="J23" s="2">
        <v>75</v>
      </c>
      <c r="K23" s="2">
        <v>4.7</v>
      </c>
      <c r="L23" s="2">
        <v>4.5</v>
      </c>
      <c r="M23" s="2">
        <v>50</v>
      </c>
      <c r="N23" s="4" t="s">
        <v>19</v>
      </c>
    </row>
    <row r="24" spans="1:14" x14ac:dyDescent="0.3">
      <c r="A24" s="4" t="s">
        <v>56</v>
      </c>
      <c r="B24" s="5">
        <v>46239</v>
      </c>
      <c r="C24" s="4" t="s">
        <v>36</v>
      </c>
      <c r="D24" s="4" t="s">
        <v>16</v>
      </c>
      <c r="E24" s="4" t="s">
        <v>2</v>
      </c>
      <c r="F24" s="4" t="s">
        <v>17</v>
      </c>
      <c r="G24" s="4" t="s">
        <v>30</v>
      </c>
      <c r="H24" s="2">
        <v>7.6</v>
      </c>
      <c r="I24" s="2">
        <v>225</v>
      </c>
      <c r="J24" s="2">
        <v>0</v>
      </c>
      <c r="K24" s="2">
        <v>4.4000000000000004</v>
      </c>
      <c r="L24" s="2">
        <v>4.3</v>
      </c>
      <c r="M24" s="2">
        <v>26</v>
      </c>
      <c r="N24" s="4" t="s">
        <v>19</v>
      </c>
    </row>
    <row r="25" spans="1:14" ht="28.8" x14ac:dyDescent="0.3">
      <c r="A25" s="4" t="s">
        <v>57</v>
      </c>
      <c r="B25" s="5">
        <v>46239</v>
      </c>
      <c r="C25" s="4" t="s">
        <v>15</v>
      </c>
      <c r="D25" s="4" t="s">
        <v>38</v>
      </c>
      <c r="E25" s="4" t="s">
        <v>2</v>
      </c>
      <c r="F25" s="4" t="s">
        <v>22</v>
      </c>
      <c r="G25" s="4" t="s">
        <v>18</v>
      </c>
      <c r="H25" s="2">
        <v>3.2</v>
      </c>
      <c r="I25" s="2">
        <v>80</v>
      </c>
      <c r="J25" s="2">
        <v>5</v>
      </c>
      <c r="K25" s="2">
        <v>4.5</v>
      </c>
      <c r="L25" s="2">
        <v>4.2</v>
      </c>
      <c r="M25" s="2">
        <v>14</v>
      </c>
      <c r="N25" s="4" t="s">
        <v>19</v>
      </c>
    </row>
    <row r="26" spans="1:14" x14ac:dyDescent="0.3">
      <c r="A26" s="4" t="s">
        <v>58</v>
      </c>
      <c r="B26" s="5">
        <v>46239</v>
      </c>
      <c r="C26" s="4" t="s">
        <v>21</v>
      </c>
      <c r="D26" s="4" t="s">
        <v>33</v>
      </c>
      <c r="E26" s="4" t="s">
        <v>2</v>
      </c>
      <c r="F26" s="4" t="s">
        <v>34</v>
      </c>
      <c r="G26" s="4" t="s">
        <v>23</v>
      </c>
      <c r="H26" s="2">
        <v>13.7</v>
      </c>
      <c r="I26" s="2">
        <v>525</v>
      </c>
      <c r="J26" s="2">
        <v>45</v>
      </c>
      <c r="K26" s="2">
        <v>4.9000000000000004</v>
      </c>
      <c r="L26" s="2">
        <v>4.9000000000000004</v>
      </c>
      <c r="M26" s="2">
        <v>42</v>
      </c>
      <c r="N26" s="4" t="s">
        <v>19</v>
      </c>
    </row>
    <row r="27" spans="1:14" x14ac:dyDescent="0.3">
      <c r="A27" s="4" t="s">
        <v>59</v>
      </c>
      <c r="B27" s="5">
        <v>46239</v>
      </c>
      <c r="C27" s="4" t="s">
        <v>25</v>
      </c>
      <c r="D27" s="4" t="s">
        <v>16</v>
      </c>
      <c r="E27" s="4" t="s">
        <v>2</v>
      </c>
      <c r="F27" s="4" t="s">
        <v>17</v>
      </c>
      <c r="G27" s="4" t="s">
        <v>18</v>
      </c>
      <c r="H27" s="2">
        <v>11.4</v>
      </c>
      <c r="I27" s="2">
        <v>335</v>
      </c>
      <c r="J27" s="2">
        <v>30</v>
      </c>
      <c r="K27" s="2">
        <v>4.8</v>
      </c>
      <c r="L27" s="2">
        <v>4.7</v>
      </c>
      <c r="M27" s="2">
        <v>36</v>
      </c>
      <c r="N27" s="4" t="s">
        <v>19</v>
      </c>
    </row>
    <row r="28" spans="1:14" ht="28.8" x14ac:dyDescent="0.3">
      <c r="A28" s="4" t="s">
        <v>60</v>
      </c>
      <c r="B28" s="5">
        <v>46239</v>
      </c>
      <c r="C28" s="4" t="s">
        <v>29</v>
      </c>
      <c r="D28" s="4" t="s">
        <v>16</v>
      </c>
      <c r="E28" s="4" t="s">
        <v>2</v>
      </c>
      <c r="F28" s="4" t="s">
        <v>22</v>
      </c>
      <c r="G28" s="4" t="s">
        <v>30</v>
      </c>
      <c r="H28" s="2">
        <v>5.9</v>
      </c>
      <c r="I28" s="2">
        <v>165</v>
      </c>
      <c r="J28" s="2">
        <v>0</v>
      </c>
      <c r="K28" s="2">
        <v>4.3</v>
      </c>
      <c r="L28" s="2">
        <v>4.0999999999999996</v>
      </c>
      <c r="M28" s="2">
        <v>21</v>
      </c>
      <c r="N28" s="4" t="s">
        <v>50</v>
      </c>
    </row>
    <row r="29" spans="1:14" x14ac:dyDescent="0.3">
      <c r="A29" s="4" t="s">
        <v>61</v>
      </c>
      <c r="B29" s="5">
        <v>46239</v>
      </c>
      <c r="C29" s="4" t="s">
        <v>32</v>
      </c>
      <c r="D29" s="4" t="s">
        <v>16</v>
      </c>
      <c r="E29" s="4" t="s">
        <v>2</v>
      </c>
      <c r="F29" s="4" t="s">
        <v>17</v>
      </c>
      <c r="G29" s="4" t="s">
        <v>18</v>
      </c>
      <c r="H29" s="2">
        <v>8.1999999999999993</v>
      </c>
      <c r="I29" s="2">
        <v>240</v>
      </c>
      <c r="J29" s="2">
        <v>20</v>
      </c>
      <c r="K29" s="2">
        <v>4.5999999999999996</v>
      </c>
      <c r="L29" s="2">
        <v>4.5</v>
      </c>
      <c r="M29" s="2">
        <v>27</v>
      </c>
      <c r="N29" s="4" t="s">
        <v>19</v>
      </c>
    </row>
    <row r="30" spans="1:14" x14ac:dyDescent="0.3">
      <c r="A30" s="4" t="s">
        <v>62</v>
      </c>
      <c r="B30" s="5">
        <v>46240</v>
      </c>
      <c r="C30" s="4" t="s">
        <v>42</v>
      </c>
      <c r="D30" s="4" t="s">
        <v>33</v>
      </c>
      <c r="E30" s="4" t="s">
        <v>27</v>
      </c>
      <c r="F30" s="4" t="s">
        <v>34</v>
      </c>
      <c r="G30" s="4" t="s">
        <v>23</v>
      </c>
      <c r="H30" s="2">
        <v>19.600000000000001</v>
      </c>
      <c r="I30" s="2">
        <v>610</v>
      </c>
      <c r="J30" s="2">
        <v>60</v>
      </c>
      <c r="K30" s="2">
        <v>4.8</v>
      </c>
      <c r="L30" s="2">
        <v>4.8</v>
      </c>
      <c r="M30" s="2">
        <v>47</v>
      </c>
      <c r="N30" s="4" t="s">
        <v>19</v>
      </c>
    </row>
    <row r="31" spans="1:14" x14ac:dyDescent="0.3">
      <c r="A31" s="4" t="s">
        <v>63</v>
      </c>
      <c r="B31" s="5">
        <v>46240</v>
      </c>
      <c r="C31" s="4" t="s">
        <v>36</v>
      </c>
      <c r="D31" s="4" t="s">
        <v>38</v>
      </c>
      <c r="E31" s="4" t="s">
        <v>2</v>
      </c>
      <c r="F31" s="4" t="s">
        <v>17</v>
      </c>
      <c r="G31" s="4" t="s">
        <v>18</v>
      </c>
      <c r="H31" s="2">
        <v>4.2</v>
      </c>
      <c r="I31" s="2">
        <v>95</v>
      </c>
      <c r="J31" s="2">
        <v>5</v>
      </c>
      <c r="K31" s="2">
        <v>4.5</v>
      </c>
      <c r="L31" s="2">
        <v>4.4000000000000004</v>
      </c>
      <c r="M31" s="2">
        <v>17</v>
      </c>
      <c r="N31" s="4" t="s">
        <v>19</v>
      </c>
    </row>
    <row r="32" spans="1:14" ht="28.8" x14ac:dyDescent="0.3">
      <c r="A32" s="4" t="s">
        <v>64</v>
      </c>
      <c r="B32" s="5">
        <v>46240</v>
      </c>
      <c r="C32" s="4" t="s">
        <v>15</v>
      </c>
      <c r="D32" s="4" t="s">
        <v>26</v>
      </c>
      <c r="E32" s="4" t="s">
        <v>27</v>
      </c>
      <c r="F32" s="4" t="s">
        <v>17</v>
      </c>
      <c r="G32" s="4" t="s">
        <v>23</v>
      </c>
      <c r="H32" s="2">
        <v>25.8</v>
      </c>
      <c r="I32" s="2">
        <v>795</v>
      </c>
      <c r="J32" s="2">
        <v>85</v>
      </c>
      <c r="K32" s="2">
        <v>4.9000000000000004</v>
      </c>
      <c r="L32" s="2">
        <v>4.8</v>
      </c>
      <c r="M32" s="2">
        <v>59</v>
      </c>
      <c r="N32" s="4" t="s">
        <v>19</v>
      </c>
    </row>
    <row r="33" spans="1:14" x14ac:dyDescent="0.3">
      <c r="A33" s="4" t="s">
        <v>65</v>
      </c>
      <c r="B33" s="5">
        <v>46240</v>
      </c>
      <c r="C33" s="4" t="s">
        <v>21</v>
      </c>
      <c r="D33" s="4" t="s">
        <v>16</v>
      </c>
      <c r="E33" s="4" t="s">
        <v>2</v>
      </c>
      <c r="F33" s="4" t="s">
        <v>22</v>
      </c>
      <c r="G33" s="4" t="s">
        <v>18</v>
      </c>
      <c r="H33" s="2">
        <v>9.1</v>
      </c>
      <c r="I33" s="2">
        <v>270</v>
      </c>
      <c r="J33" s="2">
        <v>30</v>
      </c>
      <c r="K33" s="2">
        <v>4.5999999999999996</v>
      </c>
      <c r="L33" s="2">
        <v>4.5</v>
      </c>
      <c r="M33" s="2">
        <v>30</v>
      </c>
      <c r="N33" s="4" t="s">
        <v>19</v>
      </c>
    </row>
    <row r="34" spans="1:14" x14ac:dyDescent="0.3">
      <c r="A34" s="4" t="s">
        <v>66</v>
      </c>
      <c r="B34" s="5">
        <v>46240</v>
      </c>
      <c r="C34" s="4" t="s">
        <v>25</v>
      </c>
      <c r="D34" s="4" t="s">
        <v>16</v>
      </c>
      <c r="E34" s="4" t="s">
        <v>2</v>
      </c>
      <c r="F34" s="4" t="s">
        <v>17</v>
      </c>
      <c r="G34" s="4" t="s">
        <v>30</v>
      </c>
      <c r="H34" s="2">
        <v>6.7</v>
      </c>
      <c r="I34" s="2">
        <v>195</v>
      </c>
      <c r="J34" s="2">
        <v>0</v>
      </c>
      <c r="K34" s="2">
        <v>4.4000000000000004</v>
      </c>
      <c r="L34" s="2">
        <v>4.3</v>
      </c>
      <c r="M34" s="2">
        <v>23</v>
      </c>
      <c r="N34" s="4" t="s">
        <v>19</v>
      </c>
    </row>
    <row r="35" spans="1:14" ht="28.8" x14ac:dyDescent="0.3">
      <c r="A35" s="4" t="s">
        <v>67</v>
      </c>
      <c r="B35" s="5">
        <v>46241</v>
      </c>
      <c r="C35" s="4" t="s">
        <v>29</v>
      </c>
      <c r="D35" s="4" t="s">
        <v>33</v>
      </c>
      <c r="E35" s="4" t="s">
        <v>2</v>
      </c>
      <c r="F35" s="4" t="s">
        <v>34</v>
      </c>
      <c r="G35" s="4" t="s">
        <v>23</v>
      </c>
      <c r="H35" s="2">
        <v>12.8</v>
      </c>
      <c r="I35" s="2">
        <v>490</v>
      </c>
      <c r="J35" s="2">
        <v>40</v>
      </c>
      <c r="K35" s="2">
        <v>4.9000000000000004</v>
      </c>
      <c r="L35" s="2">
        <v>4.9000000000000004</v>
      </c>
      <c r="M35" s="2">
        <v>39</v>
      </c>
      <c r="N35" s="4" t="s">
        <v>19</v>
      </c>
    </row>
    <row r="36" spans="1:14" x14ac:dyDescent="0.3">
      <c r="A36" s="4" t="s">
        <v>68</v>
      </c>
      <c r="B36" s="5">
        <v>46241</v>
      </c>
      <c r="C36" s="4" t="s">
        <v>32</v>
      </c>
      <c r="D36" s="4" t="s">
        <v>16</v>
      </c>
      <c r="E36" s="4" t="s">
        <v>2</v>
      </c>
      <c r="F36" s="4" t="s">
        <v>17</v>
      </c>
      <c r="G36" s="4" t="s">
        <v>18</v>
      </c>
      <c r="H36" s="2">
        <v>7.5</v>
      </c>
      <c r="I36" s="2">
        <v>220</v>
      </c>
      <c r="J36" s="2">
        <v>15</v>
      </c>
      <c r="K36" s="2">
        <v>4.7</v>
      </c>
      <c r="L36" s="2">
        <v>4.5999999999999996</v>
      </c>
      <c r="M36" s="2">
        <v>25</v>
      </c>
      <c r="N36" s="4" t="s">
        <v>19</v>
      </c>
    </row>
    <row r="37" spans="1:14" x14ac:dyDescent="0.3">
      <c r="A37" s="4" t="s">
        <v>69</v>
      </c>
      <c r="B37" s="5">
        <v>46241</v>
      </c>
      <c r="C37" s="4" t="s">
        <v>36</v>
      </c>
      <c r="D37" s="4" t="s">
        <v>26</v>
      </c>
      <c r="E37" s="4" t="s">
        <v>27</v>
      </c>
      <c r="F37" s="4" t="s">
        <v>17</v>
      </c>
      <c r="G37" s="4" t="s">
        <v>23</v>
      </c>
      <c r="H37" s="2">
        <v>23.6</v>
      </c>
      <c r="I37" s="2">
        <v>705</v>
      </c>
      <c r="J37" s="2">
        <v>70</v>
      </c>
      <c r="K37" s="2">
        <v>4.8</v>
      </c>
      <c r="L37" s="2">
        <v>4.7</v>
      </c>
      <c r="M37" s="2">
        <v>54</v>
      </c>
      <c r="N37" s="4" t="s">
        <v>19</v>
      </c>
    </row>
    <row r="38" spans="1:14" ht="28.8" x14ac:dyDescent="0.3">
      <c r="A38" s="4" t="s">
        <v>70</v>
      </c>
      <c r="B38" s="5">
        <v>46241</v>
      </c>
      <c r="C38" s="4" t="s">
        <v>15</v>
      </c>
      <c r="D38" s="4" t="s">
        <v>16</v>
      </c>
      <c r="E38" s="4" t="s">
        <v>2</v>
      </c>
      <c r="F38" s="4" t="s">
        <v>22</v>
      </c>
      <c r="G38" s="4" t="s">
        <v>18</v>
      </c>
      <c r="H38" s="2">
        <v>5.3</v>
      </c>
      <c r="I38" s="2">
        <v>155</v>
      </c>
      <c r="J38" s="2">
        <v>20</v>
      </c>
      <c r="K38" s="2">
        <v>4.5</v>
      </c>
      <c r="L38" s="2">
        <v>4.4000000000000004</v>
      </c>
      <c r="M38" s="2">
        <v>19</v>
      </c>
      <c r="N38" s="4" t="s">
        <v>19</v>
      </c>
    </row>
    <row r="39" spans="1:14" x14ac:dyDescent="0.3">
      <c r="A39" s="4" t="s">
        <v>71</v>
      </c>
      <c r="B39" s="5">
        <v>46241</v>
      </c>
      <c r="C39" s="4" t="s">
        <v>21</v>
      </c>
      <c r="D39" s="4" t="s">
        <v>38</v>
      </c>
      <c r="E39" s="4" t="s">
        <v>2</v>
      </c>
      <c r="F39" s="4" t="s">
        <v>17</v>
      </c>
      <c r="G39" s="4" t="s">
        <v>30</v>
      </c>
      <c r="H39" s="2">
        <v>4.7</v>
      </c>
      <c r="I39" s="2">
        <v>110</v>
      </c>
      <c r="J39" s="2">
        <v>0</v>
      </c>
      <c r="K39" s="2">
        <v>4.4000000000000004</v>
      </c>
      <c r="L39" s="2">
        <v>4.2</v>
      </c>
      <c r="M39" s="2">
        <v>18</v>
      </c>
      <c r="N39" s="4" t="s">
        <v>50</v>
      </c>
    </row>
    <row r="40" spans="1:14" x14ac:dyDescent="0.3">
      <c r="A40" s="4" t="s">
        <v>72</v>
      </c>
      <c r="B40" s="5">
        <v>46241</v>
      </c>
      <c r="C40" s="4" t="s">
        <v>25</v>
      </c>
      <c r="D40" s="4" t="s">
        <v>16</v>
      </c>
      <c r="E40" s="4" t="s">
        <v>2</v>
      </c>
      <c r="F40" s="4" t="s">
        <v>34</v>
      </c>
      <c r="G40" s="4" t="s">
        <v>23</v>
      </c>
      <c r="H40" s="2">
        <v>10.9</v>
      </c>
      <c r="I40" s="2">
        <v>330</v>
      </c>
      <c r="J40" s="2">
        <v>25</v>
      </c>
      <c r="K40" s="2">
        <v>4.8</v>
      </c>
      <c r="L40" s="2">
        <v>4.7</v>
      </c>
      <c r="M40" s="2">
        <v>35</v>
      </c>
      <c r="N40" s="4" t="s">
        <v>19</v>
      </c>
    </row>
    <row r="41" spans="1:14" x14ac:dyDescent="0.3">
      <c r="A41" s="4" t="s">
        <v>73</v>
      </c>
      <c r="B41" s="5">
        <v>46241</v>
      </c>
      <c r="C41" s="4" t="s">
        <v>42</v>
      </c>
      <c r="D41" s="4" t="s">
        <v>16</v>
      </c>
      <c r="E41" s="4" t="s">
        <v>27</v>
      </c>
      <c r="F41" s="4" t="s">
        <v>17</v>
      </c>
      <c r="G41" s="4" t="s">
        <v>18</v>
      </c>
      <c r="H41" s="2">
        <v>16.8</v>
      </c>
      <c r="I41" s="2">
        <v>495</v>
      </c>
      <c r="J41" s="2">
        <v>50</v>
      </c>
      <c r="K41" s="2">
        <v>4.7</v>
      </c>
      <c r="L41" s="2">
        <v>4.5999999999999996</v>
      </c>
      <c r="M41" s="2">
        <v>40</v>
      </c>
      <c r="N41" s="4" t="s">
        <v>19</v>
      </c>
    </row>
    <row r="42" spans="1:14" ht="28.8" x14ac:dyDescent="0.3">
      <c r="A42" s="4" t="s">
        <v>74</v>
      </c>
      <c r="B42" s="5">
        <v>46242</v>
      </c>
      <c r="C42" s="4" t="s">
        <v>29</v>
      </c>
      <c r="D42" s="4" t="s">
        <v>38</v>
      </c>
      <c r="E42" s="4" t="s">
        <v>2</v>
      </c>
      <c r="F42" s="4" t="s">
        <v>22</v>
      </c>
      <c r="G42" s="4" t="s">
        <v>18</v>
      </c>
      <c r="H42" s="2">
        <v>3.9</v>
      </c>
      <c r="I42" s="2">
        <v>92</v>
      </c>
      <c r="J42" s="2">
        <v>5</v>
      </c>
      <c r="K42" s="2">
        <v>4.5</v>
      </c>
      <c r="L42" s="2">
        <v>4.3</v>
      </c>
      <c r="M42" s="2">
        <v>15</v>
      </c>
      <c r="N42" s="4" t="s">
        <v>19</v>
      </c>
    </row>
    <row r="43" spans="1:14" x14ac:dyDescent="0.3">
      <c r="A43" s="4" t="s">
        <v>75</v>
      </c>
      <c r="B43" s="5">
        <v>46242</v>
      </c>
      <c r="C43" s="4" t="s">
        <v>32</v>
      </c>
      <c r="D43" s="4" t="s">
        <v>33</v>
      </c>
      <c r="E43" s="4" t="s">
        <v>2</v>
      </c>
      <c r="F43" s="4" t="s">
        <v>34</v>
      </c>
      <c r="G43" s="4" t="s">
        <v>23</v>
      </c>
      <c r="H43" s="2">
        <v>15.2</v>
      </c>
      <c r="I43" s="2">
        <v>575</v>
      </c>
      <c r="J43" s="2">
        <v>50</v>
      </c>
      <c r="K43" s="2">
        <v>4.9000000000000004</v>
      </c>
      <c r="L43" s="2">
        <v>4.8</v>
      </c>
      <c r="M43" s="2">
        <v>45</v>
      </c>
      <c r="N43" s="4" t="s">
        <v>19</v>
      </c>
    </row>
    <row r="44" spans="1:14" x14ac:dyDescent="0.3">
      <c r="A44" s="4" t="s">
        <v>76</v>
      </c>
      <c r="B44" s="5">
        <v>46242</v>
      </c>
      <c r="C44" s="4" t="s">
        <v>36</v>
      </c>
      <c r="D44" s="4" t="s">
        <v>16</v>
      </c>
      <c r="E44" s="4" t="s">
        <v>2</v>
      </c>
      <c r="F44" s="4" t="s">
        <v>17</v>
      </c>
      <c r="G44" s="4" t="s">
        <v>30</v>
      </c>
      <c r="H44" s="2">
        <v>8.8000000000000007</v>
      </c>
      <c r="I44" s="2">
        <v>255</v>
      </c>
      <c r="J44" s="2">
        <v>0</v>
      </c>
      <c r="K44" s="2">
        <v>4.5999999999999996</v>
      </c>
      <c r="L44" s="2">
        <v>4.5</v>
      </c>
      <c r="M44" s="2">
        <v>28</v>
      </c>
      <c r="N44" s="4" t="s">
        <v>19</v>
      </c>
    </row>
    <row r="45" spans="1:14" ht="28.8" x14ac:dyDescent="0.3">
      <c r="A45" s="4" t="s">
        <v>77</v>
      </c>
      <c r="B45" s="5">
        <v>46242</v>
      </c>
      <c r="C45" s="4" t="s">
        <v>15</v>
      </c>
      <c r="D45" s="4" t="s">
        <v>16</v>
      </c>
      <c r="E45" s="4" t="s">
        <v>2</v>
      </c>
      <c r="F45" s="4" t="s">
        <v>17</v>
      </c>
      <c r="G45" s="4" t="s">
        <v>18</v>
      </c>
      <c r="H45" s="2">
        <v>10.1</v>
      </c>
      <c r="I45" s="2">
        <v>300</v>
      </c>
      <c r="J45" s="2">
        <v>25</v>
      </c>
      <c r="K45" s="2">
        <v>4.8</v>
      </c>
      <c r="L45" s="2">
        <v>4.7</v>
      </c>
      <c r="M45" s="2">
        <v>33</v>
      </c>
      <c r="N45" s="4" t="s">
        <v>19</v>
      </c>
    </row>
    <row r="46" spans="1:14" x14ac:dyDescent="0.3">
      <c r="A46" s="4" t="s">
        <v>78</v>
      </c>
      <c r="B46" s="5">
        <v>46242</v>
      </c>
      <c r="C46" s="4" t="s">
        <v>21</v>
      </c>
      <c r="D46" s="4" t="s">
        <v>26</v>
      </c>
      <c r="E46" s="4" t="s">
        <v>27</v>
      </c>
      <c r="F46" s="4" t="s">
        <v>34</v>
      </c>
      <c r="G46" s="4" t="s">
        <v>23</v>
      </c>
      <c r="H46" s="2">
        <v>27.4</v>
      </c>
      <c r="I46" s="2">
        <v>850</v>
      </c>
      <c r="J46" s="2">
        <v>100</v>
      </c>
      <c r="K46" s="2">
        <v>4.9000000000000004</v>
      </c>
      <c r="L46" s="2">
        <v>4.9000000000000004</v>
      </c>
      <c r="M46" s="2">
        <v>64</v>
      </c>
      <c r="N46" s="4" t="s">
        <v>19</v>
      </c>
    </row>
    <row r="47" spans="1:14" x14ac:dyDescent="0.3">
      <c r="A47" s="4" t="s">
        <v>79</v>
      </c>
      <c r="B47" s="5">
        <v>46242</v>
      </c>
      <c r="C47" s="4" t="s">
        <v>25</v>
      </c>
      <c r="D47" s="4" t="s">
        <v>38</v>
      </c>
      <c r="E47" s="4" t="s">
        <v>2</v>
      </c>
      <c r="F47" s="4" t="s">
        <v>22</v>
      </c>
      <c r="G47" s="4" t="s">
        <v>30</v>
      </c>
      <c r="H47" s="2">
        <v>4.0999999999999996</v>
      </c>
      <c r="I47" s="2">
        <v>95</v>
      </c>
      <c r="J47" s="2">
        <v>0</v>
      </c>
      <c r="K47" s="2">
        <v>4.2</v>
      </c>
      <c r="L47" s="2">
        <v>4</v>
      </c>
      <c r="M47" s="2">
        <v>17</v>
      </c>
      <c r="N47" s="4" t="s">
        <v>19</v>
      </c>
    </row>
    <row r="48" spans="1:14" ht="28.8" x14ac:dyDescent="0.3">
      <c r="A48" s="4" t="s">
        <v>80</v>
      </c>
      <c r="B48" s="5">
        <v>46243</v>
      </c>
      <c r="C48" s="4" t="s">
        <v>29</v>
      </c>
      <c r="D48" s="4" t="s">
        <v>16</v>
      </c>
      <c r="E48" s="4" t="s">
        <v>2</v>
      </c>
      <c r="F48" s="4" t="s">
        <v>17</v>
      </c>
      <c r="G48" s="4" t="s">
        <v>18</v>
      </c>
      <c r="H48" s="2">
        <v>7.9</v>
      </c>
      <c r="I48" s="2">
        <v>230</v>
      </c>
      <c r="J48" s="2">
        <v>20</v>
      </c>
      <c r="K48" s="2">
        <v>4.7</v>
      </c>
      <c r="L48" s="2">
        <v>4.5999999999999996</v>
      </c>
      <c r="M48" s="2">
        <v>26</v>
      </c>
      <c r="N48" s="4" t="s">
        <v>19</v>
      </c>
    </row>
    <row r="49" spans="1:14" x14ac:dyDescent="0.3">
      <c r="A49" s="4" t="s">
        <v>81</v>
      </c>
      <c r="B49" s="5">
        <v>46243</v>
      </c>
      <c r="C49" s="4" t="s">
        <v>32</v>
      </c>
      <c r="D49" s="4" t="s">
        <v>26</v>
      </c>
      <c r="E49" s="4" t="s">
        <v>27</v>
      </c>
      <c r="F49" s="4" t="s">
        <v>17</v>
      </c>
      <c r="G49" s="4" t="s">
        <v>23</v>
      </c>
      <c r="H49" s="2">
        <v>20.5</v>
      </c>
      <c r="I49" s="2">
        <v>625</v>
      </c>
      <c r="J49" s="2">
        <v>65</v>
      </c>
      <c r="K49" s="2">
        <v>4.8</v>
      </c>
      <c r="L49" s="2">
        <v>4.7</v>
      </c>
      <c r="M49" s="2">
        <v>49</v>
      </c>
      <c r="N49" s="4" t="s">
        <v>19</v>
      </c>
    </row>
    <row r="50" spans="1:14" x14ac:dyDescent="0.3">
      <c r="A50" s="4" t="s">
        <v>82</v>
      </c>
      <c r="B50" s="5">
        <v>46243</v>
      </c>
      <c r="C50" s="4" t="s">
        <v>42</v>
      </c>
      <c r="D50" s="4" t="s">
        <v>38</v>
      </c>
      <c r="E50" s="4" t="s">
        <v>2</v>
      </c>
      <c r="F50" s="4" t="s">
        <v>22</v>
      </c>
      <c r="G50" s="4" t="s">
        <v>18</v>
      </c>
      <c r="H50" s="2">
        <v>4.8</v>
      </c>
      <c r="I50" s="2">
        <v>105</v>
      </c>
      <c r="J50" s="2">
        <v>10</v>
      </c>
      <c r="K50" s="2">
        <v>4.5999999999999996</v>
      </c>
      <c r="L50" s="2">
        <v>4.4000000000000004</v>
      </c>
      <c r="M50" s="2">
        <v>18</v>
      </c>
      <c r="N50" s="4" t="s">
        <v>19</v>
      </c>
    </row>
    <row r="51" spans="1:14" x14ac:dyDescent="0.3">
      <c r="A51" s="4" t="s">
        <v>83</v>
      </c>
      <c r="B51" s="5">
        <v>46243</v>
      </c>
      <c r="C51" s="4" t="s">
        <v>36</v>
      </c>
      <c r="D51" s="4" t="s">
        <v>16</v>
      </c>
      <c r="E51" s="4" t="s">
        <v>2</v>
      </c>
      <c r="F51" s="4" t="s">
        <v>17</v>
      </c>
      <c r="G51" s="4" t="s">
        <v>18</v>
      </c>
      <c r="H51" s="2">
        <v>9.6</v>
      </c>
      <c r="I51" s="2">
        <v>285</v>
      </c>
      <c r="J51" s="2">
        <v>25</v>
      </c>
      <c r="K51" s="2">
        <v>4.7</v>
      </c>
      <c r="L51" s="2">
        <v>4.5999999999999996</v>
      </c>
      <c r="M51" s="2">
        <v>32</v>
      </c>
      <c r="N51" s="4"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34EB7-F9CB-41D8-A9B3-ACFA7680C953}">
  <dimension ref="A1:Q58"/>
  <sheetViews>
    <sheetView showGridLines="0" topLeftCell="B1" workbookViewId="0">
      <selection activeCell="N31" sqref="N31"/>
    </sheetView>
  </sheetViews>
  <sheetFormatPr defaultRowHeight="14.4" x14ac:dyDescent="0.3"/>
  <cols>
    <col min="1" max="1" width="30.77734375" customWidth="1"/>
    <col min="2" max="2" width="40.21875" customWidth="1"/>
    <col min="3" max="3" width="12.44140625" bestFit="1" customWidth="1"/>
    <col min="4" max="4" width="14.5546875" bestFit="1" customWidth="1"/>
    <col min="16" max="16" width="12.44140625" bestFit="1" customWidth="1"/>
    <col min="17" max="17" width="14.5546875" bestFit="1" customWidth="1"/>
  </cols>
  <sheetData>
    <row r="1" spans="1:17" ht="28.8" x14ac:dyDescent="0.3">
      <c r="A1" s="8" t="s">
        <v>84</v>
      </c>
      <c r="B1" s="8" t="s">
        <v>85</v>
      </c>
    </row>
    <row r="2" spans="1:17" ht="28.8" x14ac:dyDescent="0.3">
      <c r="A2" s="10" t="s">
        <v>86</v>
      </c>
      <c r="B2" s="10">
        <f>COUNTA(Table1[Ride_ID])</f>
        <v>50</v>
      </c>
      <c r="C2" s="11" t="s">
        <v>116</v>
      </c>
      <c r="D2" t="s">
        <v>90</v>
      </c>
    </row>
    <row r="3" spans="1:17" ht="72" x14ac:dyDescent="0.3">
      <c r="A3" s="10" t="s">
        <v>88</v>
      </c>
      <c r="B3" s="10">
        <f>COUNTIF(Table1[Status],DATA!N44)</f>
        <v>47</v>
      </c>
      <c r="C3" s="12" t="s">
        <v>15</v>
      </c>
      <c r="D3">
        <v>2425</v>
      </c>
      <c r="P3" s="11" t="s">
        <v>116</v>
      </c>
      <c r="Q3" t="s">
        <v>90</v>
      </c>
    </row>
    <row r="4" spans="1:17" ht="28.8" x14ac:dyDescent="0.3">
      <c r="A4" s="10" t="s">
        <v>89</v>
      </c>
      <c r="B4" s="10">
        <f>SUM(Table1[Fare_INR])</f>
        <v>18042</v>
      </c>
      <c r="C4" s="12" t="s">
        <v>32</v>
      </c>
      <c r="D4">
        <v>2980</v>
      </c>
      <c r="P4" s="12" t="s">
        <v>29</v>
      </c>
      <c r="Q4">
        <v>2122</v>
      </c>
    </row>
    <row r="5" spans="1:17" ht="43.2" x14ac:dyDescent="0.3">
      <c r="A5" s="10" t="s">
        <v>91</v>
      </c>
      <c r="B5" s="10">
        <f>AVERAGE(Table1[Fare_INR])</f>
        <v>360.84</v>
      </c>
      <c r="C5" s="12" t="s">
        <v>25</v>
      </c>
      <c r="D5">
        <v>2895</v>
      </c>
      <c r="P5" s="12" t="s">
        <v>117</v>
      </c>
      <c r="Q5">
        <v>2122</v>
      </c>
    </row>
    <row r="6" spans="1:17" ht="57.6" x14ac:dyDescent="0.3">
      <c r="A6" s="10" t="s">
        <v>92</v>
      </c>
      <c r="B6" s="10">
        <f>AVERAGE(Table1[Customer_Rating])</f>
        <v>4.5640000000000001</v>
      </c>
      <c r="C6" s="12" t="s">
        <v>29</v>
      </c>
      <c r="D6">
        <v>2122</v>
      </c>
    </row>
    <row r="7" spans="1:17" x14ac:dyDescent="0.3">
      <c r="C7" s="12" t="s">
        <v>42</v>
      </c>
      <c r="D7">
        <v>1865</v>
      </c>
    </row>
    <row r="8" spans="1:17" x14ac:dyDescent="0.3">
      <c r="C8" s="12" t="s">
        <v>21</v>
      </c>
      <c r="D8">
        <v>3525</v>
      </c>
    </row>
    <row r="9" spans="1:17" x14ac:dyDescent="0.3">
      <c r="A9" s="8" t="s">
        <v>93</v>
      </c>
      <c r="B9" s="8" t="s">
        <v>94</v>
      </c>
      <c r="C9" s="12" t="s">
        <v>36</v>
      </c>
      <c r="D9">
        <v>2230</v>
      </c>
    </row>
    <row r="10" spans="1:17" ht="28.8" x14ac:dyDescent="0.3">
      <c r="A10" s="9" t="s">
        <v>95</v>
      </c>
      <c r="B10" s="10" t="s">
        <v>96</v>
      </c>
      <c r="C10" s="12" t="s">
        <v>117</v>
      </c>
      <c r="D10">
        <v>18042</v>
      </c>
    </row>
    <row r="11" spans="1:17" ht="57.6" x14ac:dyDescent="0.3">
      <c r="A11" s="9" t="s">
        <v>97</v>
      </c>
      <c r="B11" s="10" t="s">
        <v>98</v>
      </c>
      <c r="C11" s="11" t="s">
        <v>116</v>
      </c>
      <c r="D11" t="s">
        <v>87</v>
      </c>
    </row>
    <row r="12" spans="1:17" x14ac:dyDescent="0.3">
      <c r="A12" s="9" t="s">
        <v>99</v>
      </c>
      <c r="B12" s="10" t="s">
        <v>100</v>
      </c>
      <c r="C12" s="12" t="s">
        <v>38</v>
      </c>
      <c r="D12">
        <v>9</v>
      </c>
    </row>
    <row r="13" spans="1:17" x14ac:dyDescent="0.3">
      <c r="A13" s="9" t="s">
        <v>101</v>
      </c>
      <c r="B13" s="10" t="s">
        <v>102</v>
      </c>
      <c r="C13" s="12" t="s">
        <v>33</v>
      </c>
      <c r="D13">
        <v>8</v>
      </c>
    </row>
    <row r="14" spans="1:17" x14ac:dyDescent="0.3">
      <c r="A14" s="9" t="s">
        <v>103</v>
      </c>
      <c r="B14" s="10" t="s">
        <v>104</v>
      </c>
      <c r="C14" s="12" t="s">
        <v>16</v>
      </c>
      <c r="D14">
        <v>25</v>
      </c>
    </row>
    <row r="15" spans="1:17" x14ac:dyDescent="0.3">
      <c r="A15" s="9" t="s">
        <v>105</v>
      </c>
      <c r="B15" s="10" t="s">
        <v>106</v>
      </c>
      <c r="C15" s="12" t="s">
        <v>26</v>
      </c>
      <c r="D15">
        <v>8</v>
      </c>
    </row>
    <row r="16" spans="1:17" x14ac:dyDescent="0.3">
      <c r="A16" s="9" t="s">
        <v>107</v>
      </c>
      <c r="B16" s="10" t="s">
        <v>108</v>
      </c>
      <c r="C16" s="12" t="s">
        <v>117</v>
      </c>
      <c r="D16">
        <v>50</v>
      </c>
    </row>
    <row r="17" spans="1:4" x14ac:dyDescent="0.3">
      <c r="A17" s="9" t="s">
        <v>109</v>
      </c>
      <c r="B17" s="10" t="s">
        <v>110</v>
      </c>
    </row>
    <row r="19" spans="1:4" ht="18" x14ac:dyDescent="0.3">
      <c r="A19" s="6" t="s">
        <v>111</v>
      </c>
      <c r="C19" s="11" t="s">
        <v>116</v>
      </c>
      <c r="D19" t="s">
        <v>90</v>
      </c>
    </row>
    <row r="20" spans="1:4" x14ac:dyDescent="0.3">
      <c r="A20" s="7"/>
      <c r="C20" s="13">
        <v>46235</v>
      </c>
      <c r="D20">
        <v>1950</v>
      </c>
    </row>
    <row r="21" spans="1:4" x14ac:dyDescent="0.3">
      <c r="A21" s="7" t="s">
        <v>1</v>
      </c>
      <c r="C21" s="13">
        <v>46236</v>
      </c>
      <c r="D21">
        <v>2040</v>
      </c>
    </row>
    <row r="22" spans="1:4" x14ac:dyDescent="0.3">
      <c r="A22" s="7" t="s">
        <v>2</v>
      </c>
      <c r="C22" s="13">
        <v>46237</v>
      </c>
      <c r="D22">
        <v>2215</v>
      </c>
    </row>
    <row r="23" spans="1:4" x14ac:dyDescent="0.3">
      <c r="A23" s="7" t="s">
        <v>112</v>
      </c>
      <c r="C23" s="13">
        <v>46238</v>
      </c>
      <c r="D23">
        <v>2385</v>
      </c>
    </row>
    <row r="24" spans="1:4" x14ac:dyDescent="0.3">
      <c r="A24" s="7" t="s">
        <v>113</v>
      </c>
      <c r="C24" s="13">
        <v>46239</v>
      </c>
      <c r="D24">
        <v>1570</v>
      </c>
    </row>
    <row r="25" spans="1:4" x14ac:dyDescent="0.3">
      <c r="A25" s="7" t="s">
        <v>114</v>
      </c>
      <c r="C25" s="13">
        <v>46240</v>
      </c>
      <c r="D25">
        <v>1965</v>
      </c>
    </row>
    <row r="26" spans="1:4" x14ac:dyDescent="0.3">
      <c r="A26" s="7" t="s">
        <v>115</v>
      </c>
      <c r="C26" s="13">
        <v>46241</v>
      </c>
      <c r="D26">
        <v>2505</v>
      </c>
    </row>
    <row r="27" spans="1:4" x14ac:dyDescent="0.3">
      <c r="A27" s="7" t="s">
        <v>13</v>
      </c>
      <c r="C27" s="13">
        <v>46242</v>
      </c>
      <c r="D27">
        <v>2167</v>
      </c>
    </row>
    <row r="28" spans="1:4" x14ac:dyDescent="0.3">
      <c r="C28" s="13">
        <v>46243</v>
      </c>
      <c r="D28">
        <v>1245</v>
      </c>
    </row>
    <row r="29" spans="1:4" x14ac:dyDescent="0.3">
      <c r="C29" s="13" t="s">
        <v>117</v>
      </c>
      <c r="D29">
        <v>18042</v>
      </c>
    </row>
    <row r="32" spans="1:4" x14ac:dyDescent="0.3">
      <c r="C32" s="11" t="s">
        <v>116</v>
      </c>
      <c r="D32" t="s">
        <v>87</v>
      </c>
    </row>
    <row r="33" spans="3:4" x14ac:dyDescent="0.3">
      <c r="C33" s="12" t="s">
        <v>23</v>
      </c>
      <c r="D33">
        <v>17</v>
      </c>
    </row>
    <row r="34" spans="3:4" x14ac:dyDescent="0.3">
      <c r="C34" s="12" t="s">
        <v>30</v>
      </c>
      <c r="D34">
        <v>10</v>
      </c>
    </row>
    <row r="35" spans="3:4" x14ac:dyDescent="0.3">
      <c r="C35" s="12" t="s">
        <v>18</v>
      </c>
      <c r="D35">
        <v>23</v>
      </c>
    </row>
    <row r="36" spans="3:4" x14ac:dyDescent="0.3">
      <c r="C36" s="12" t="s">
        <v>117</v>
      </c>
      <c r="D36">
        <v>50</v>
      </c>
    </row>
    <row r="38" spans="3:4" x14ac:dyDescent="0.3">
      <c r="C38" s="11" t="s">
        <v>116</v>
      </c>
      <c r="D38" t="s">
        <v>90</v>
      </c>
    </row>
    <row r="39" spans="3:4" x14ac:dyDescent="0.3">
      <c r="C39" s="12" t="s">
        <v>27</v>
      </c>
      <c r="D39">
        <v>8400</v>
      </c>
    </row>
    <row r="40" spans="3:4" x14ac:dyDescent="0.3">
      <c r="C40" s="12" t="s">
        <v>2</v>
      </c>
      <c r="D40">
        <v>9642</v>
      </c>
    </row>
    <row r="41" spans="3:4" x14ac:dyDescent="0.3">
      <c r="C41" s="12" t="s">
        <v>117</v>
      </c>
      <c r="D41">
        <v>18042</v>
      </c>
    </row>
    <row r="43" spans="3:4" x14ac:dyDescent="0.3">
      <c r="C43" s="11" t="s">
        <v>116</v>
      </c>
      <c r="D43" t="s">
        <v>87</v>
      </c>
    </row>
    <row r="44" spans="3:4" x14ac:dyDescent="0.3">
      <c r="C44" s="12" t="s">
        <v>22</v>
      </c>
      <c r="D44">
        <v>13</v>
      </c>
    </row>
    <row r="45" spans="3:4" x14ac:dyDescent="0.3">
      <c r="C45" s="12" t="s">
        <v>34</v>
      </c>
      <c r="D45">
        <v>11</v>
      </c>
    </row>
    <row r="46" spans="3:4" x14ac:dyDescent="0.3">
      <c r="C46" s="12" t="s">
        <v>17</v>
      </c>
      <c r="D46">
        <v>26</v>
      </c>
    </row>
    <row r="47" spans="3:4" x14ac:dyDescent="0.3">
      <c r="C47" s="12" t="s">
        <v>117</v>
      </c>
      <c r="D47">
        <v>50</v>
      </c>
    </row>
    <row r="49" spans="3:4" x14ac:dyDescent="0.3">
      <c r="C49" s="11" t="s">
        <v>116</v>
      </c>
      <c r="D49" t="s">
        <v>118</v>
      </c>
    </row>
    <row r="50" spans="3:4" x14ac:dyDescent="0.3">
      <c r="C50" s="12" t="s">
        <v>38</v>
      </c>
      <c r="D50">
        <v>38.5</v>
      </c>
    </row>
    <row r="51" spans="3:4" x14ac:dyDescent="0.3">
      <c r="C51" s="12" t="s">
        <v>33</v>
      </c>
      <c r="D51">
        <v>38.799999999999997</v>
      </c>
    </row>
    <row r="52" spans="3:4" x14ac:dyDescent="0.3">
      <c r="C52" s="12" t="s">
        <v>16</v>
      </c>
      <c r="D52">
        <v>112.89999999999999</v>
      </c>
    </row>
    <row r="53" spans="3:4" x14ac:dyDescent="0.3">
      <c r="C53" s="12" t="s">
        <v>26</v>
      </c>
      <c r="D53">
        <v>38</v>
      </c>
    </row>
    <row r="54" spans="3:4" x14ac:dyDescent="0.3">
      <c r="C54" s="12" t="s">
        <v>117</v>
      </c>
      <c r="D54">
        <v>228.2</v>
      </c>
    </row>
    <row r="55" spans="3:4" x14ac:dyDescent="0.3">
      <c r="C55" s="11" t="s">
        <v>116</v>
      </c>
      <c r="D55" t="s">
        <v>87</v>
      </c>
    </row>
    <row r="56" spans="3:4" x14ac:dyDescent="0.3">
      <c r="C56" s="12" t="s">
        <v>50</v>
      </c>
      <c r="D56">
        <v>3</v>
      </c>
    </row>
    <row r="57" spans="3:4" x14ac:dyDescent="0.3">
      <c r="C57" s="12" t="s">
        <v>19</v>
      </c>
      <c r="D57">
        <v>47</v>
      </c>
    </row>
    <row r="58" spans="3:4" x14ac:dyDescent="0.3">
      <c r="C58" s="12" t="s">
        <v>117</v>
      </c>
      <c r="D58">
        <v>50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CADDF-8BF0-4181-AFF0-53B25426B86C}">
  <dimension ref="A1"/>
  <sheetViews>
    <sheetView showGridLines="0" showRowColHeaders="0" tabSelected="1" zoomScale="37" zoomScaleNormal="102" workbookViewId="0">
      <selection activeCell="T71" sqref="T71"/>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CONTENTS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shabnam edakuni</dc:creator>
  <cp:lastModifiedBy>Akshaya ~</cp:lastModifiedBy>
  <dcterms:created xsi:type="dcterms:W3CDTF">2026-08-10T04:14:19Z</dcterms:created>
  <dcterms:modified xsi:type="dcterms:W3CDTF">2026-09-22T17:18:03Z</dcterms:modified>
</cp:coreProperties>
</file>